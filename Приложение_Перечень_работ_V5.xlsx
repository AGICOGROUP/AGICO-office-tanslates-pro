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06_ПРОЕКТЫ\L00_Проекты Традиционной топливо (газ, уголь)\L00_Строительство Угольного переделп\01. ТЗ\05. Разработка ТЗ\"/>
    </mc:Choice>
  </mc:AlternateContent>
  <xr:revisionPtr revIDLastSave="0" documentId="13_ncr:1_{EAA93CF3-44BF-4350-ACBF-A9F69DC3E82E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Приложение 4" sheetId="3" r:id="rId1"/>
    <sheet name="Приложение №1" sheetId="4" r:id="rId2"/>
  </sheets>
  <definedNames>
    <definedName name="_xlnm._FilterDatabase" localSheetId="1" hidden="1">'Приложение №1'!$A$3:$H$330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5" i="4" l="1"/>
  <c r="D354" i="4"/>
  <c r="D353" i="4"/>
  <c r="F331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03" i="4"/>
  <c r="F204" i="4"/>
  <c r="F205" i="4"/>
  <c r="F206" i="4"/>
  <c r="F207" i="4"/>
  <c r="F208" i="4"/>
  <c r="F209" i="4"/>
  <c r="F210" i="4"/>
  <c r="F211" i="4"/>
  <c r="F212" i="4"/>
  <c r="F202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5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D357" i="4" s="1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D359" i="4" s="1"/>
  <c r="J308" i="4"/>
  <c r="J307" i="4"/>
  <c r="J306" i="4"/>
  <c r="J305" i="4"/>
  <c r="J304" i="4"/>
  <c r="J303" i="4"/>
  <c r="J302" i="4"/>
  <c r="J301" i="4"/>
  <c r="J300" i="4"/>
  <c r="J299" i="4"/>
  <c r="J298" i="4"/>
  <c r="D358" i="4" s="1"/>
  <c r="J297" i="4"/>
  <c r="J296" i="4"/>
  <c r="J295" i="4"/>
  <c r="J294" i="4"/>
  <c r="J293" i="4"/>
  <c r="J292" i="4"/>
  <c r="J291" i="4"/>
  <c r="J29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70" i="4"/>
  <c r="J269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5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30" i="4"/>
  <c r="J226" i="4"/>
  <c r="J227" i="4"/>
  <c r="J228" i="4"/>
  <c r="J225" i="4"/>
  <c r="J213" i="4"/>
  <c r="J20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182" i="4"/>
  <c r="D356" i="4" s="1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68" i="4"/>
  <c r="J5" i="4"/>
  <c r="G289" i="4"/>
  <c r="G181" i="4"/>
  <c r="G201" i="4"/>
  <c r="G309" i="4"/>
  <c r="G269" i="4"/>
  <c r="G249" i="4"/>
  <c r="G229" i="4"/>
  <c r="G4" i="4"/>
  <c r="D360" i="4" l="1"/>
  <c r="J201" i="4"/>
  <c r="J181" i="4"/>
  <c r="J229" i="4"/>
  <c r="J249" i="4"/>
  <c r="J330" i="4"/>
  <c r="J309" i="4"/>
  <c r="J289" i="4"/>
  <c r="J4" i="4"/>
  <c r="J3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Евгений Богданов</author>
  </authors>
  <commentList>
    <comment ref="E4" authorId="0" shapeId="0" xr:uid="{740A9375-9AB8-4954-A525-6D8DCF834CEB}">
      <text>
        <r>
          <rPr>
            <b/>
            <sz val="9"/>
            <color indexed="81"/>
            <rFont val="Tahoma"/>
            <family val="2"/>
            <charset val="204"/>
          </rPr>
          <t>Евгений Богданов: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4"/>
            <color indexed="81"/>
            <rFont val="Tahoma"/>
            <family val="2"/>
            <charset val="204"/>
          </rPr>
          <t>Предлаю исключить данную категорию. Включить ее в металлоконструкции в столбец "Что входит"</t>
        </r>
      </text>
    </comment>
    <comment ref="E8" authorId="0" shapeId="0" xr:uid="{FDCD1BC7-0F4F-441F-A799-1C007A9FF72F}">
      <text>
        <r>
          <rPr>
            <b/>
            <sz val="9"/>
            <color indexed="81"/>
            <rFont val="Tahoma"/>
            <family val="2"/>
            <charset val="204"/>
          </rPr>
          <t>Евгений Богданов: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4"/>
            <color indexed="81"/>
            <rFont val="Tahoma"/>
            <family val="2"/>
            <charset val="204"/>
          </rPr>
          <t>Предлагаю исключить данную категорию, т.к. Agico предоставили конкретный вес на систему инертизации и ее можно включить к оборудованию</t>
        </r>
      </text>
    </comment>
  </commentList>
</comments>
</file>

<file path=xl/sharedStrings.xml><?xml version="1.0" encoding="utf-8"?>
<sst xmlns="http://schemas.openxmlformats.org/spreadsheetml/2006/main" count="1579" uniqueCount="885">
  <si>
    <t>№</t>
  </si>
  <si>
    <t>Наименование работы</t>
  </si>
  <si>
    <t>Зона ответственности</t>
  </si>
  <si>
    <t>Категория</t>
  </si>
  <si>
    <t>Объем</t>
  </si>
  <si>
    <t>Проект</t>
  </si>
  <si>
    <t>Ед. изм.</t>
  </si>
  <si>
    <t>Кол-во</t>
  </si>
  <si>
    <t>Исполнитель</t>
  </si>
  <si>
    <t>Металлоконструкции</t>
  </si>
  <si>
    <t>т</t>
  </si>
  <si>
    <t>Заказчик</t>
  </si>
  <si>
    <t>Железобетонные конструкции</t>
  </si>
  <si>
    <t>м²</t>
  </si>
  <si>
    <t>м³</t>
  </si>
  <si>
    <t>Технологическое оборудование</t>
  </si>
  <si>
    <t>Трубопроводы и газоходы</t>
  </si>
  <si>
    <t>Термоизоляция</t>
  </si>
  <si>
    <t>Инертизация и пожаротушение</t>
  </si>
  <si>
    <t>—</t>
  </si>
  <si>
    <t>фикс. сумма</t>
  </si>
  <si>
    <t>Электромонтаж и КИПиА</t>
  </si>
  <si>
    <t>Ограждающие конструкции</t>
  </si>
  <si>
    <t>60-0366-258-АР</t>
  </si>
  <si>
    <t>60-0366-259-КМ</t>
  </si>
  <si>
    <t>60-0366-259-АР</t>
  </si>
  <si>
    <t>Демонтаж</t>
  </si>
  <si>
    <t>60-0366-081-КМ</t>
  </si>
  <si>
    <t>Раздел проекта на стадии разработки</t>
  </si>
  <si>
    <t>60-0366-083-КМ</t>
  </si>
  <si>
    <t>60-0366-083-АР</t>
  </si>
  <si>
    <t>60-0366-102-ТХ</t>
  </si>
  <si>
    <t>DXF-3150-00</t>
  </si>
  <si>
    <t>Монтаж взрывозащищённой осветительной арматуры по объектам (мельничное отделение, угольный силос 200м3 , 100 м3 , рукавных фильтров мельницы и барабана)</t>
  </si>
  <si>
    <t>Монтаж кабельных галерей от 5ТП1 к зданию сушильного отделения, фильтров процесса, угольного силоса 200м3 , 100 м3.</t>
  </si>
  <si>
    <t xml:space="preserve">Монтаж кабельных линий сушильного отделения угля согласно проектной документации </t>
  </si>
  <si>
    <t>ЭС-06.11.25</t>
  </si>
  <si>
    <t>ЭС-17.11.25</t>
  </si>
  <si>
    <t>ЭС-24.11.25</t>
  </si>
  <si>
    <t>Группа</t>
  </si>
  <si>
    <t>Ед.</t>
  </si>
  <si>
    <t>Расценка</t>
  </si>
  <si>
    <t>Что входит</t>
  </si>
  <si>
    <t>USD/т</t>
  </si>
  <si>
    <t>Мельница, сепараторы, фильтры, дымососы, дозаторы, горелки, насосы, компрессоры, элеватор, конвейеры, питатели, затворы, клапаны</t>
  </si>
  <si>
    <t>Этажерки, площадки, лестницы, опоры, рамы, силосы, бункеры, навесы, газоходные опоры, лотки, жёлоба, переходники, защитная обшивка (оцинк. лист)</t>
  </si>
  <si>
    <t>Технологические трубопроводы, газоходы, углепроводы, воздуховоды, арматура, компенсаторы</t>
  </si>
  <si>
    <t>USD/м³</t>
  </si>
  <si>
    <t>Минеральная вата на газоходах/дымососах/фильтрах</t>
  </si>
  <si>
    <t>USD/т (пониж.)</t>
  </si>
  <si>
    <t>Демонтаж существующих горелок, площадок, фахверка</t>
  </si>
  <si>
    <t>Шкафы, кабель, лотки, датчики, газоанализаторы, шиберы (шт), взрывозащита, заземление</t>
  </si>
  <si>
    <t>Опоры, баллоны, короба, трубопроводы азота/инертизации</t>
  </si>
  <si>
    <t>Сэндвич-панели, профнастил (стены, кровля)</t>
  </si>
  <si>
    <t>Плиты, отмостка, цоколь, топпинг, двери, окна, ворота</t>
  </si>
  <si>
    <t>1.</t>
  </si>
  <si>
    <t>Код оборудования</t>
  </si>
  <si>
    <t>L01-IP50.IP10</t>
  </si>
  <si>
    <t>L01-IP50.IP20</t>
  </si>
  <si>
    <t>L01-IP50.IP30</t>
  </si>
  <si>
    <t>L01-CP70</t>
  </si>
  <si>
    <t>L11-BF07</t>
  </si>
  <si>
    <t>L11-BF07.FA10</t>
  </si>
  <si>
    <t>L11-BF07.RF10</t>
  </si>
  <si>
    <t>L11-CP11</t>
  </si>
  <si>
    <t>L11-BM15</t>
  </si>
  <si>
    <t>L41-DU21.DA10</t>
  </si>
  <si>
    <t>L41-DU22.DA10</t>
  </si>
  <si>
    <t>L41-DA23</t>
  </si>
  <si>
    <t>L41-FN24</t>
  </si>
  <si>
    <t>L41-FN24.MT10</t>
  </si>
  <si>
    <t>L41-CN30</t>
  </si>
  <si>
    <t>L41-CN30.RF10</t>
  </si>
  <si>
    <t>L41-CN30.MR10</t>
  </si>
  <si>
    <t>L41-CN30.SD10</t>
  </si>
  <si>
    <t>L41-DA31</t>
  </si>
  <si>
    <t>L41-DA31.SV10</t>
  </si>
  <si>
    <t>L41-CN33</t>
  </si>
  <si>
    <t>L41-CN33.RF10</t>
  </si>
  <si>
    <t>L41-CN33.MR10</t>
  </si>
  <si>
    <t>L41-CN33.SD10</t>
  </si>
  <si>
    <t>L41-DA34</t>
  </si>
  <si>
    <t>L41-DA34.SV10</t>
  </si>
  <si>
    <t>L41-FN37</t>
  </si>
  <si>
    <t xml:space="preserve">Бустер-вентилятор                            </t>
  </si>
  <si>
    <t>L41-FN37.MT10</t>
  </si>
  <si>
    <t>L41-DA39</t>
  </si>
  <si>
    <t>L41-DA39.SV10</t>
  </si>
  <si>
    <t>L41-DA40</t>
  </si>
  <si>
    <t>L41-DA40.SV10</t>
  </si>
  <si>
    <t>L51-BC43</t>
  </si>
  <si>
    <t>L51-BC43.MT10</t>
  </si>
  <si>
    <t>L51-BC44</t>
  </si>
  <si>
    <t>L51-BC44.MT10</t>
  </si>
  <si>
    <t>L51-DG47</t>
  </si>
  <si>
    <t>L51-DG47.SV10</t>
  </si>
  <si>
    <t>L51-DG47.GT10</t>
  </si>
  <si>
    <t>L51-BE49</t>
  </si>
  <si>
    <t>L51-BE49.MT10</t>
  </si>
  <si>
    <t>L51-RC4A.</t>
  </si>
  <si>
    <t>L51-RC4A.MT10
L51-RC4A.MT20</t>
  </si>
  <si>
    <t>L51-BC48</t>
  </si>
  <si>
    <t>L51-BC48.MT10</t>
  </si>
  <si>
    <t>L51-BC48.MS10</t>
  </si>
  <si>
    <t>L91-3S50.YX11
L91-3S50.YX12
L91-3S50.YX13
L91-3S50.YX14</t>
  </si>
  <si>
    <t>L91-3S50.EX10</t>
  </si>
  <si>
    <t>L51-BF51</t>
  </si>
  <si>
    <t>L51-BF51.FA10</t>
  </si>
  <si>
    <t>L51-BF51.MT10</t>
  </si>
  <si>
    <t>L51-BF51.RF10</t>
  </si>
  <si>
    <t>L51-BF51.MR10</t>
  </si>
  <si>
    <t>L51-CP60.</t>
  </si>
  <si>
    <t>L51-BF55.RT20</t>
  </si>
  <si>
    <t>L61-WF63</t>
  </si>
  <si>
    <t>L61-WF63.NG10</t>
  </si>
  <si>
    <t>L61-BM65</t>
  </si>
  <si>
    <t>L61-BM65.LN10</t>
  </si>
  <si>
    <t>L61-BM65.GM10</t>
  </si>
  <si>
    <t>L61-LQ66</t>
  </si>
  <si>
    <t>L61-LQ68</t>
  </si>
  <si>
    <t>L61-DR67</t>
  </si>
  <si>
    <t>L61-BM65.EX10</t>
  </si>
  <si>
    <t>L61-SR70</t>
  </si>
  <si>
    <t>L61-SR70.MT10</t>
  </si>
  <si>
    <t>L61-RF71</t>
  </si>
  <si>
    <t>L61-RF71.MR10</t>
  </si>
  <si>
    <t>L61-WB72</t>
  </si>
  <si>
    <t>L61-SC73</t>
  </si>
  <si>
    <t>L61-SC73.MR10</t>
  </si>
  <si>
    <t>L61-RF64</t>
  </si>
  <si>
    <t>L61-CP61</t>
  </si>
  <si>
    <t>L61-2K7А</t>
  </si>
  <si>
    <t>L61-BF75.RT20</t>
  </si>
  <si>
    <t>L61-SC76</t>
  </si>
  <si>
    <t>L61-DU79.DA10</t>
  </si>
  <si>
    <t>L61-DU80.DA20</t>
  </si>
  <si>
    <t>L61-DU80.SV20</t>
  </si>
  <si>
    <t>L61-DU80.DA10</t>
  </si>
  <si>
    <t>L61-DU80.SV10</t>
  </si>
  <si>
    <t>L91-CP83</t>
  </si>
  <si>
    <t xml:space="preserve">Компрессор транспортировки молотого угля на ПОК                                                                                                  </t>
  </si>
  <si>
    <t>L91-CP83.MT10</t>
  </si>
  <si>
    <t xml:space="preserve">электродвигатель  Компрессора транспортировки молотого угля на ПОК    </t>
  </si>
  <si>
    <t>L91-PP84</t>
  </si>
  <si>
    <t xml:space="preserve">Насос пневмокамерный насос молотого угля              </t>
  </si>
  <si>
    <t>L91-DU85</t>
  </si>
  <si>
    <t>L91-3S86.EX10</t>
  </si>
  <si>
    <t>L91-3S86.AE10</t>
  </si>
  <si>
    <t>L91-3S86.YX11
L91-3S86.YX12
L91-3S86.YX13
L91-3S86.YX14</t>
  </si>
  <si>
    <t>L91-2K88</t>
  </si>
  <si>
    <t>L91-BF87</t>
  </si>
  <si>
    <t>L91-BF87.FA10</t>
  </si>
  <si>
    <t>L91-BF87.MT10</t>
  </si>
  <si>
    <t>L91-CP89</t>
  </si>
  <si>
    <t>L91-CP89.MT10</t>
  </si>
  <si>
    <t>L91-BL91.</t>
  </si>
  <si>
    <t>L91-BL91.MT10</t>
  </si>
  <si>
    <t>L91-BL91.VA10</t>
  </si>
  <si>
    <t>L91-BL92.</t>
  </si>
  <si>
    <t>L91-BL92.MT10</t>
  </si>
  <si>
    <t>L91-BL92.VA10</t>
  </si>
  <si>
    <t>L91-BL93</t>
  </si>
  <si>
    <t>L91-BL93.MT10</t>
  </si>
  <si>
    <t>L91-BL93.VA10</t>
  </si>
  <si>
    <t>L91-BL93.VA20</t>
  </si>
  <si>
    <t>L91-WF95</t>
  </si>
  <si>
    <t>L91-DU96</t>
  </si>
  <si>
    <t>L91-WF97</t>
  </si>
  <si>
    <t>L91-DU98</t>
  </si>
  <si>
    <t>L91-CP1A</t>
  </si>
  <si>
    <t>L91-CP1A.MT10</t>
  </si>
  <si>
    <t>L91-PP2A</t>
  </si>
  <si>
    <t xml:space="preserve">Насос пневмкамерный молотого угля №1              </t>
  </si>
  <si>
    <t>L91-PP3A</t>
  </si>
  <si>
    <t xml:space="preserve">Насос пневмкамерный молотого угля №2              </t>
  </si>
  <si>
    <t>L91-DU4A</t>
  </si>
  <si>
    <t>L91-3S5A.EX10</t>
  </si>
  <si>
    <t>L91-3S5A.AE10</t>
  </si>
  <si>
    <t>L91-3S5A.YX11
L91-3S5A.YX12
L91-3S5A.YX13
L91-3S5A.YX14</t>
  </si>
  <si>
    <t>L91-BF6A</t>
  </si>
  <si>
    <t>L91-BF6A.FA10</t>
  </si>
  <si>
    <t>L91-BF6A.MT10</t>
  </si>
  <si>
    <t>L91-2K7A</t>
  </si>
  <si>
    <t>L91-CP8A</t>
  </si>
  <si>
    <t>L91-BL1B</t>
  </si>
  <si>
    <t>L91-BL1B.VA10</t>
  </si>
  <si>
    <t>L91-BL1B.VA20</t>
  </si>
  <si>
    <t>L91-BL2B</t>
  </si>
  <si>
    <t>L91-BL2B.VA10</t>
  </si>
  <si>
    <t>L91-BL3B</t>
  </si>
  <si>
    <t>L91-BL3B.VA10</t>
  </si>
  <si>
    <t>L91-WF5B</t>
  </si>
  <si>
    <t>L91-DU6B</t>
  </si>
  <si>
    <t>L91-WF7B</t>
  </si>
  <si>
    <t>L91-DU8B</t>
  </si>
  <si>
    <t>461-BU67</t>
  </si>
  <si>
    <t>461-FA68</t>
  </si>
  <si>
    <t>461-FA68.MT10</t>
  </si>
  <si>
    <t>461-FA68.DA10</t>
  </si>
  <si>
    <t>461-FA69</t>
  </si>
  <si>
    <t>461-FA69.MT10</t>
  </si>
  <si>
    <t>461-FA69.DA10</t>
  </si>
  <si>
    <t>462-BU67</t>
  </si>
  <si>
    <t>462-FA68</t>
  </si>
  <si>
    <t>462-FA68.MT10</t>
  </si>
  <si>
    <t>462-FA68.DA10</t>
  </si>
  <si>
    <t>462-FA69</t>
  </si>
  <si>
    <t>462-FA69.MT10</t>
  </si>
  <si>
    <t>462-FA69.DA10</t>
  </si>
  <si>
    <t>252-BU07</t>
  </si>
  <si>
    <t>252-BU07.FA07</t>
  </si>
  <si>
    <t>252-BU07.MT07</t>
  </si>
  <si>
    <t>252-BU07.DA07</t>
  </si>
  <si>
    <t>252-BU07.SV07</t>
  </si>
  <si>
    <t>252-HG08</t>
  </si>
  <si>
    <t>252-CK09</t>
  </si>
  <si>
    <t>252-CK09.FA09</t>
  </si>
  <si>
    <t>252-CK09.MT09</t>
  </si>
  <si>
    <t>252-CK09.DA09</t>
  </si>
  <si>
    <t>252-CK09.SV09</t>
  </si>
  <si>
    <t xml:space="preserve">252-CV10 </t>
  </si>
  <si>
    <t>252-CV10.MT10</t>
  </si>
  <si>
    <t>253-BU07</t>
  </si>
  <si>
    <t>253-BU07.FA10</t>
  </si>
  <si>
    <t>253-BU07.MT10</t>
  </si>
  <si>
    <t>253-BU07.DA07</t>
  </si>
  <si>
    <t>253-BU07.SV07</t>
  </si>
  <si>
    <t>253-HG08</t>
  </si>
  <si>
    <t>253-CK09</t>
  </si>
  <si>
    <t>253-CK09.FA09</t>
  </si>
  <si>
    <t>253-CK09.MT09</t>
  </si>
  <si>
    <t>253-CK09.DA09</t>
  </si>
  <si>
    <t>253-CK09.SV09</t>
  </si>
  <si>
    <t xml:space="preserve">253-CV10 </t>
  </si>
  <si>
    <t>253-CV10.MT10</t>
  </si>
  <si>
    <t>Блок инертизации2 (200 m³ силос)</t>
  </si>
  <si>
    <t>Блок инертизации 3    (силос 100 м3)</t>
  </si>
  <si>
    <t xml:space="preserve">Компрессор инструментального воздуха угольного передела  </t>
  </si>
  <si>
    <t xml:space="preserve">Рукавный фильтр приемного устройства   64-5 тип                 </t>
  </si>
  <si>
    <t xml:space="preserve">Вентилятор Рукавного фильтра приемного устройства        </t>
  </si>
  <si>
    <t xml:space="preserve">Тензодатчики силоса сухого угля RTN 33t C3 </t>
  </si>
  <si>
    <t xml:space="preserve">Клапан сброса давления Ø356мм силоса сухого угля                                                                        </t>
  </si>
  <si>
    <t xml:space="preserve"> моторедуктор Питатель ячейковый РФ                  </t>
  </si>
  <si>
    <t xml:space="preserve">Шаровая загрузка мельницы                                         </t>
  </si>
  <si>
    <t xml:space="preserve">Блок инертизации 1 (угольная мельница)                                                      </t>
  </si>
  <si>
    <t xml:space="preserve">Компрессор инструментального воздуха                приемного устройства                                         </t>
  </si>
  <si>
    <t xml:space="preserve">Ячейковый питатель Рукавного фильтра приемного устройства                                              </t>
  </si>
  <si>
    <t>Направляющий аппарат  бустер-вентилятора</t>
  </si>
  <si>
    <t xml:space="preserve">Бустер-вентилятор                                                                                                  </t>
  </si>
  <si>
    <t xml:space="preserve">Электродвигатель                                                      </t>
  </si>
  <si>
    <t xml:space="preserve">Питатель ячейковый1 с двигателем                   </t>
  </si>
  <si>
    <t xml:space="preserve">Циклон ПОК 1 
(Заказчику предоставляется  полная техническая документация для  изготовления, КМД. В формате  dwg.)                                                          </t>
  </si>
  <si>
    <t xml:space="preserve">Жалюзийная заслонка газохода от кальцинатора печи №1                                                                </t>
  </si>
  <si>
    <t xml:space="preserve">сервопривод  Шибер газохода от кальцинатора  печи №1                                                               </t>
  </si>
  <si>
    <t xml:space="preserve">Питатель ячейковый 2 с двигателем                    </t>
  </si>
  <si>
    <t xml:space="preserve">Мотор-редуктор Питателя ячейковый2              </t>
  </si>
  <si>
    <t xml:space="preserve">Задвижка шиберно-ножевая ДУ1300 на входе циклона №2                                              </t>
  </si>
  <si>
    <t xml:space="preserve">Жалюзийная заслонка газохода от кальцинатора печи №2                                                        </t>
  </si>
  <si>
    <t xml:space="preserve">сервопривод  Шибер газохода от кальцинатора  печи №2                                                   </t>
  </si>
  <si>
    <t xml:space="preserve">Жалюзийная заслонка подачи горячих газов на шаровую мельницу со сервоприводом                            </t>
  </si>
  <si>
    <t xml:space="preserve">Жалюзийная заслонка подачи свежего воздуха на шаровую мельницу со сервоприводом                              </t>
  </si>
  <si>
    <t xml:space="preserve">Жалюзийная заслонкаподачи свежего воздуха на шаровую мельницу   со сервоприводом                             </t>
  </si>
  <si>
    <t xml:space="preserve">Переключатель потока (уголь / известняк) со сервопривод Переключателя потока (уголь / известняк)                                                                    </t>
  </si>
  <si>
    <t xml:space="preserve"> сервопривод Переключателя потока (уголь / известняк)                                                               </t>
  </si>
  <si>
    <t xml:space="preserve">Затвор грузовой 600*600                                    </t>
  </si>
  <si>
    <t xml:space="preserve">Элеватор выгрузки СБ с двигателем                   </t>
  </si>
  <si>
    <t xml:space="preserve">Эл. двигатель Цепной ковшовый элеватора </t>
  </si>
  <si>
    <t xml:space="preserve"> двухвалковая дробилка</t>
  </si>
  <si>
    <t xml:space="preserve"> двигатель двухвалковой дробилки </t>
  </si>
  <si>
    <t xml:space="preserve">Конвейер ленточный сухого угля №1                                 </t>
  </si>
  <si>
    <t xml:space="preserve">Фильтр рукавный Бункера сухого угля                   </t>
  </si>
  <si>
    <t xml:space="preserve">Вентилятор рукавного фильтра                              </t>
  </si>
  <si>
    <t>Эл. Двигатель Вентилятора рукавного фильтра</t>
  </si>
  <si>
    <t xml:space="preserve">Питатель ячейковый РФ с моторедуктором          </t>
  </si>
  <si>
    <t xml:space="preserve">Компрессор инструментального воздуха рукавного фильтра Сушильного барабана                            </t>
  </si>
  <si>
    <t xml:space="preserve">Шиберная заслонкана выходе РФ СБ с пневмоприводом                                                                        </t>
  </si>
  <si>
    <t xml:space="preserve">Дозатор угля в мельницу (L=6м)                          </t>
  </si>
  <si>
    <t xml:space="preserve">Затвор штырьевой перед дозатором                           </t>
  </si>
  <si>
    <t xml:space="preserve"> Mельница новая (включая брони, лобовые плиты и бронеболты. щары)                                                      </t>
  </si>
  <si>
    <t xml:space="preserve">Внутренняя остнастка шаровой мельницы                    </t>
  </si>
  <si>
    <t xml:space="preserve">Система смазки цапф шарвой мельницы                     
</t>
  </si>
  <si>
    <t xml:space="preserve">Система смазки редуктора главного привода шаровой мельницы                                                                   
</t>
  </si>
  <si>
    <t>Привод шаровой мельницы (Главный + вспомогательный)</t>
  </si>
  <si>
    <t xml:space="preserve">Взрывной клапан шаровой мельницы                   </t>
  </si>
  <si>
    <t xml:space="preserve">Сепаратор с эл. Двигателем                                        </t>
  </si>
  <si>
    <t xml:space="preserve">эл. Двигатель Сепаратор                                          </t>
  </si>
  <si>
    <t xml:space="preserve">Питатель ячейковый с моторедуктором            </t>
  </si>
  <si>
    <t xml:space="preserve">моторедуктор Питателя ячейковый                 </t>
  </si>
  <si>
    <t xml:space="preserve">Расходомер возврата крупки                                       </t>
  </si>
  <si>
    <t xml:space="preserve">Шнек возврата крупки  c моторедуктором                 </t>
  </si>
  <si>
    <t xml:space="preserve"> моторедуктор  Шнек возврата крупки                       </t>
  </si>
  <si>
    <t xml:space="preserve">Ячеиковый питатель                              </t>
  </si>
  <si>
    <t xml:space="preserve">Компрессор инструментального воздуха фильтра процесса                                                                  </t>
  </si>
  <si>
    <t xml:space="preserve">Газоанализатор O2, СО, Помол угля                            </t>
  </si>
  <si>
    <t xml:space="preserve">Ножевые шибера на выходе Рукавного фильтра BF75 процесса                                                                             </t>
  </si>
  <si>
    <t xml:space="preserve">Шнек подачи угля на систему дозирования L=4м                                                                               </t>
  </si>
  <si>
    <t xml:space="preserve">Жалюзийный клапан выбросов газов на дымовой              трубе                                                                                      </t>
  </si>
  <si>
    <t xml:space="preserve">Жалюзийный клапан подачи газов на рециркуляцию через сепаратор со сервоприводом                                                 </t>
  </si>
  <si>
    <t xml:space="preserve">Сервопривод Жалюзийного клапана подачи газов на рециркуляцию через сепаратор с сервоприводом                                                          </t>
  </si>
  <si>
    <t xml:space="preserve">Жалюзийный клапан подачи газов на рециркуляцию через мельницу                                                         </t>
  </si>
  <si>
    <t xml:space="preserve">Сервопривод Жалюзийного клапан подачи газов на рециркуляцию через мельницу   со сервоприводом                                                      </t>
  </si>
  <si>
    <t xml:space="preserve">Клапан взрывной силоса угля 200м3                       </t>
  </si>
  <si>
    <t xml:space="preserve">Система аэрации силоса 200 м3                                </t>
  </si>
  <si>
    <t xml:space="preserve">Тензодатчики силоса угольного порошка  200 м3 RTN68                                                                              </t>
  </si>
  <si>
    <t xml:space="preserve">Газоанализатор  СО, силоса 200 m³ </t>
  </si>
  <si>
    <t>Фильтр рукавный силоса молотого угля 200 м3 для СБ</t>
  </si>
  <si>
    <t xml:space="preserve">Вентилятор фильтра силоса +Электодвигатель        </t>
  </si>
  <si>
    <t xml:space="preserve">Электодвигатель Вентилятор фильтра силоса        </t>
  </si>
  <si>
    <t xml:space="preserve">Компрессор инструментального воздуха силоса силосв 200м3+ Электодвигатель                                           </t>
  </si>
  <si>
    <t>Электодвигатель Компрессор инструментального воздуха силоса силосв 200м3</t>
  </si>
  <si>
    <t xml:space="preserve">Воздуходувка №1                                                             </t>
  </si>
  <si>
    <t xml:space="preserve">Эл. двигатель   Воздуходувка №1                                       </t>
  </si>
  <si>
    <t xml:space="preserve">Задвижка воздуходувки №1                                           </t>
  </si>
  <si>
    <t xml:space="preserve">Воздуходувка №2                                                       </t>
  </si>
  <si>
    <t xml:space="preserve">Эл. двигатель   Воздуходувка №2                                 </t>
  </si>
  <si>
    <t xml:space="preserve">Задвижка воздуходувки №2                                          </t>
  </si>
  <si>
    <t xml:space="preserve">Воздуходувка №3                                                              </t>
  </si>
  <si>
    <t xml:space="preserve">Эл. двигатель   Воздуходувка №3                                         </t>
  </si>
  <si>
    <t xml:space="preserve">Задвижка воздуходувки №3                                              </t>
  </si>
  <si>
    <t xml:space="preserve">Резерв Задвижка воздуходувки №3                        </t>
  </si>
  <si>
    <t xml:space="preserve">Дозатор весовой молотого угля №1                             </t>
  </si>
  <si>
    <t xml:space="preserve">Углепровод №1                                                                      </t>
  </si>
  <si>
    <t xml:space="preserve">Дозатор весовой молотого угля №2                               </t>
  </si>
  <si>
    <t xml:space="preserve">Углепровод №2                                                                     </t>
  </si>
  <si>
    <t xml:space="preserve"> электродвигатель Компрессора транспортировки молотого угля на СБ                                                  </t>
  </si>
  <si>
    <t xml:space="preserve">Углепровод транспортировки молотого угля в силос угля ПОК                                                                            </t>
  </si>
  <si>
    <t xml:space="preserve">Клапан взрывной силоса угля 100м3                     </t>
  </si>
  <si>
    <t xml:space="preserve">Система аэрации силоса 100 м3                    </t>
  </si>
  <si>
    <t xml:space="preserve">Тензодатчики силоса угольного порошка RTN 33t C3                                                                            </t>
  </si>
  <si>
    <t xml:space="preserve">Фильтр рукавный Силоса хранения угля 100м3 для СБ                                                                                       </t>
  </si>
  <si>
    <t xml:space="preserve">Вентилятор фильтра рукавного силоса угля 100м3                                                                               </t>
  </si>
  <si>
    <t xml:space="preserve">Эл.двигатель Вентилятора фильтра силоса                         </t>
  </si>
  <si>
    <t xml:space="preserve">Газоанализатор СО силоса СБ                                 </t>
  </si>
  <si>
    <t xml:space="preserve">Компрессор инструментального воздуха силоса угля 100м3                                                                              </t>
  </si>
  <si>
    <t xml:space="preserve">Воздуходувка  транспортировки угольной пыли             резервная                                                                                 </t>
  </si>
  <si>
    <t xml:space="preserve">Задвижка резарвирования №1                                    </t>
  </si>
  <si>
    <t xml:space="preserve">Воздуходувка транспортировки угольной пыли на СБ2                                                                                     </t>
  </si>
  <si>
    <t xml:space="preserve">Задвижка воздуходувки №2                                         </t>
  </si>
  <si>
    <t xml:space="preserve">Воздуходувка транспортировки угольной пыли на СБ3                                                                                       </t>
  </si>
  <si>
    <t xml:space="preserve">Задвижка воздуходувки №3                                               </t>
  </si>
  <si>
    <t xml:space="preserve">Дозатор молотого угля на СБ2                                    </t>
  </si>
  <si>
    <t xml:space="preserve">Углепровод подячи молоього угля на СБ2                 </t>
  </si>
  <si>
    <t xml:space="preserve">Дозатор молотого угля на СБ3                                          </t>
  </si>
  <si>
    <t xml:space="preserve">Углепровод подячи молоього угля на СБ3                </t>
  </si>
  <si>
    <t xml:space="preserve">Горелка  печи №1                                                                    </t>
  </si>
  <si>
    <t xml:space="preserve">Вентилятор MAS aer горелки печи №1                            </t>
  </si>
  <si>
    <t xml:space="preserve">Эл.двигатель Вентилятора MAS aer горелки печи №1                                                                                          </t>
  </si>
  <si>
    <t xml:space="preserve">Шибер Вентилятора MAS aer горелки печи №1            </t>
  </si>
  <si>
    <t xml:space="preserve">Вентилятор аварийного охлаждения горелки печи №1                                                                                         </t>
  </si>
  <si>
    <t xml:space="preserve">Эл.двигатель Вентилятора аварийного охлаждения горелки печи №1                                                                     </t>
  </si>
  <si>
    <t xml:space="preserve">Шибер Вентилятора аварийного охлаждения горелки печи №1                                                                         </t>
  </si>
  <si>
    <t xml:space="preserve">Горелка печи №2                                                         </t>
  </si>
  <si>
    <t xml:space="preserve">Вентилятор MAS aer горелки печи №2                              </t>
  </si>
  <si>
    <t xml:space="preserve">Эл.двигатель Вентилятора MAS aer горелки печи №2                                                                                                 </t>
  </si>
  <si>
    <t xml:space="preserve">Шибер Вентилятора MAS aer горелки печи №2                        </t>
  </si>
  <si>
    <t xml:space="preserve">Вентилятор аварийного охлаждения горелки печи №2                                                                                               </t>
  </si>
  <si>
    <t xml:space="preserve">Эл.двигатель Вентилятора аварийного охлаждения горелки печи №2                                                                      </t>
  </si>
  <si>
    <t xml:space="preserve">Шибер Вентилятора аварийного охлаждения горелки печи №2                                                                                  </t>
  </si>
  <si>
    <t xml:space="preserve">Комбинированная горелка СБ2                                </t>
  </si>
  <si>
    <t xml:space="preserve">Вентилятор горелки СБ2 c эл. Двигателем и шибером                                                                                              </t>
  </si>
  <si>
    <t xml:space="preserve">Эл.двигатель вентилятора горелки СБ2                       </t>
  </si>
  <si>
    <t xml:space="preserve">Шибер вентилятор горелки СБ2                                 </t>
  </si>
  <si>
    <t xml:space="preserve">Сервопривод шибера вентилятора горелки СБ2 </t>
  </si>
  <si>
    <t xml:space="preserve">Топка сушильного барабана №2                              </t>
  </si>
  <si>
    <t>Смесительная камера СБ2</t>
  </si>
  <si>
    <t xml:space="preserve">Вентилятор смесительной камеры СБ2                     </t>
  </si>
  <si>
    <t xml:space="preserve">Эл.двигатель вентилятора горелки СБ2                     </t>
  </si>
  <si>
    <t xml:space="preserve">Шибер вентилятор смесительной камеры СБ2              </t>
  </si>
  <si>
    <t xml:space="preserve">Сервопривод шибера вентилятора смесительной камеры СБ2                                                        </t>
  </si>
  <si>
    <t xml:space="preserve">Пластинчатый питатель сброса золы                                    </t>
  </si>
  <si>
    <t xml:space="preserve">Эл.двигатель Пластинчатого питателя сброса золы                                   </t>
  </si>
  <si>
    <t xml:space="preserve">Вентилятор горелки СБ3                                                    </t>
  </si>
  <si>
    <t xml:space="preserve">Эл.двигатель вентилятора горелки СБ3                                   </t>
  </si>
  <si>
    <t xml:space="preserve">Шибер вентилятор горелки СБ3                                            </t>
  </si>
  <si>
    <t xml:space="preserve">Сервопривод шибера вентилятора горелки СБ3                             </t>
  </si>
  <si>
    <t xml:space="preserve">Топка сушильного барабана №3                                  </t>
  </si>
  <si>
    <t xml:space="preserve">Смесительная камера СБ3                                                  </t>
  </si>
  <si>
    <t xml:space="preserve">Вентилятор смесительной камеры СБ3                </t>
  </si>
  <si>
    <t xml:space="preserve">Эл.двигатель вентилятора смесительной камеры            СБ3                                                                                      </t>
  </si>
  <si>
    <t xml:space="preserve">Шибер вентилятор горелки СБ3                                    </t>
  </si>
  <si>
    <t xml:space="preserve">Сервопривод шибера вентилятора смесительной камеры СБ3                                                                            </t>
  </si>
  <si>
    <t xml:space="preserve">Пластинчатый питатель сброса золы                     </t>
  </si>
  <si>
    <t xml:space="preserve">Эл.двигатель Пластинчатого питателя сброса золы                                                                       </t>
  </si>
  <si>
    <t xml:space="preserve">Комбинированная горелка СБ3                                  </t>
  </si>
  <si>
    <t xml:space="preserve">моторедуктор Дозатор весовой молотого угля №2            </t>
  </si>
  <si>
    <t xml:space="preserve">моторедуктор Дозатор весовой молотого угля №3         </t>
  </si>
  <si>
    <t>Компрессор транспортировки молотого угля на СБ</t>
  </si>
  <si>
    <t xml:space="preserve">моторедуктор Дозатор весовой молотого угля №2  </t>
  </si>
  <si>
    <t xml:space="preserve">моторедуктор Дозатор весовой молотого угля №1  </t>
  </si>
  <si>
    <t xml:space="preserve">Углепровод транспортировки молотого угля в силос 200m³                                                            </t>
  </si>
  <si>
    <t>L91-WF7B-MR10
L91-WF7B-MT10
L91-WF7B-MT20</t>
  </si>
  <si>
    <t>L91-WF5B-MR10
L91-WF5B-MT10
L91-WF5B-MT20</t>
  </si>
  <si>
    <t xml:space="preserve">Циклон ПОК 1  (Заказчику предоставляется  полная техническая документация для  изготовления, КМД. В формате  dwg.)                                                                          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</si>
  <si>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</si>
  <si>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</si>
  <si>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</si>
  <si>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</si>
  <si>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</si>
  <si>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</si>
  <si>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</si>
  <si>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</si>
  <si>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</si>
  <si>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</si>
  <si>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</si>
  <si>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</si>
  <si>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</si>
  <si>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</si>
  <si>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</si>
  <si>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</si>
  <si>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</si>
  <si>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</si>
  <si>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</si>
  <si>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</si>
  <si>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</si>
  <si>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</si>
  <si>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</si>
  <si>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</si>
  <si>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</si>
  <si>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</si>
  <si>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</si>
  <si>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</si>
  <si>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</si>
  <si>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</si>
  <si>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</si>
  <si>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</si>
  <si>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</si>
  <si>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</si>
  <si>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</si>
  <si>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</si>
  <si>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</si>
  <si>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</si>
  <si>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</si>
  <si>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</si>
  <si>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</si>
  <si>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</si>
  <si>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</si>
  <si>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</si>
  <si>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</si>
  <si>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</si>
  <si>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</si>
  <si>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</si>
  <si>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</si>
  <si>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</si>
  <si>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</si>
  <si>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</si>
  <si>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</si>
  <si>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</si>
  <si>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</si>
  <si>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</si>
  <si>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</si>
  <si>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</si>
  <si>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</si>
  <si>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</si>
  <si>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</si>
  <si>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</si>
  <si>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</si>
  <si>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</si>
  <si>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</si>
  <si>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</si>
  <si>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</si>
  <si>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</si>
  <si>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</si>
  <si>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</si>
  <si>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</si>
  <si>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</si>
  <si>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</si>
  <si>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</si>
  <si>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</si>
  <si>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</si>
  <si>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</si>
  <si>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</si>
  <si>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</si>
  <si>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</si>
  <si>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</si>
  <si>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</si>
  <si>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</si>
  <si>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</si>
  <si>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</si>
  <si>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</si>
  <si>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</si>
  <si>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</si>
  <si>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</si>
  <si>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</si>
  <si>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</si>
  <si>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</si>
  <si>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</si>
  <si>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</si>
  <si>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</si>
  <si>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</si>
  <si>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</si>
  <si>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</si>
  <si>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</si>
  <si>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</si>
  <si>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</si>
  <si>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</si>
  <si>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</si>
  <si>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</si>
  <si>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</si>
  <si>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</si>
  <si>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</si>
  <si>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</si>
  <si>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</si>
  <si>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</si>
  <si>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</si>
  <si>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</si>
  <si>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</si>
  <si>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</si>
  <si>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</si>
  <si>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</si>
  <si>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</si>
  <si>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</si>
  <si>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</si>
  <si>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</si>
  <si>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</si>
  <si>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</si>
  <si>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</si>
  <si>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</si>
  <si>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</si>
  <si>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</si>
  <si>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</si>
  <si>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</si>
  <si>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</si>
  <si>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</si>
  <si>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</si>
  <si>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</si>
  <si>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</si>
  <si>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</si>
  <si>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</si>
  <si>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</si>
  <si>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</si>
  <si>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</si>
  <si>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</si>
  <si>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</si>
  <si>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</si>
  <si>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</si>
  <si>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</si>
  <si>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</si>
  <si>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</si>
  <si>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</si>
  <si>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</si>
  <si>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</si>
  <si>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</si>
  <si>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</si>
  <si>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</si>
  <si>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</si>
  <si>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</si>
  <si>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</si>
  <si>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</si>
  <si>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</si>
  <si>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</si>
  <si>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</si>
  <si>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</si>
  <si>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</si>
  <si>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</si>
  <si>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</si>
  <si>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</si>
  <si>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</si>
  <si>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</si>
  <si>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</si>
  <si>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</si>
  <si>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</si>
  <si>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1.169</t>
  </si>
  <si>
    <t>1.170</t>
  </si>
  <si>
    <t>1.171</t>
  </si>
  <si>
    <t>1.172</t>
  </si>
  <si>
    <t>1.173</t>
  </si>
  <si>
    <t>1.174</t>
  </si>
  <si>
    <t>1.175</t>
  </si>
  <si>
    <t>1.176</t>
  </si>
  <si>
    <t>2.</t>
  </si>
  <si>
    <t>L61-BF75</t>
  </si>
  <si>
    <t>2.1</t>
  </si>
  <si>
    <t>Моторедуктор Шнека</t>
  </si>
  <si>
    <t>Питатель ячейковый</t>
  </si>
  <si>
    <t>Моторедуктор Питателя ячейкового</t>
  </si>
  <si>
    <t>Шибер на входе фильтра процесса</t>
  </si>
  <si>
    <t>L61-BF75.RT10</t>
  </si>
  <si>
    <t>L61-BF75.SC10</t>
  </si>
  <si>
    <t>L61-BF75.MR10</t>
  </si>
  <si>
    <t>L61-BF75.RF10</t>
  </si>
  <si>
    <t>L61-BF75.MR20</t>
  </si>
  <si>
    <t>2.2</t>
  </si>
  <si>
    <t>2.3</t>
  </si>
  <si>
    <t>2.4</t>
  </si>
  <si>
    <t>2.5</t>
  </si>
  <si>
    <t>2.6</t>
  </si>
  <si>
    <t>Газоанализатор O2, СО, Помол угля</t>
  </si>
  <si>
    <t>Дымосос Фильтра процесса</t>
  </si>
  <si>
    <t>L61-2K7A</t>
  </si>
  <si>
    <t>L61-FN78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</si>
  <si>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</si>
  <si>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</si>
  <si>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</si>
  <si>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</si>
  <si>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</si>
  <si>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</si>
  <si>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</si>
  <si>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</si>
  <si>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</si>
  <si>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</si>
  <si>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Шнек рукавного фильтра процесса</t>
  </si>
  <si>
    <t>Взрывной клапан сепаратора</t>
  </si>
  <si>
    <t>L61-SR70.EX10</t>
  </si>
  <si>
    <t>Компенсаторы на входе/выходе фильтра процесса</t>
  </si>
  <si>
    <r>
      <t>Рукавный Фильтр процесса шаровой мельницы производительностью 78 000 м</t>
    </r>
    <r>
      <rPr>
        <sz val="11"/>
        <color theme="1"/>
        <rFont val="Calibri"/>
        <family val="2"/>
        <charset val="204"/>
      </rPr>
      <t>³</t>
    </r>
    <r>
      <rPr>
        <sz val="11"/>
        <color theme="1"/>
        <rFont val="Calibri"/>
        <family val="2"/>
      </rPr>
      <t>/час</t>
    </r>
  </si>
  <si>
    <t>Рукавный фильтр сушильного барабана производительностью 100 000 м³/час</t>
  </si>
  <si>
    <t>Питатель ячейковый выгрузки фильтра</t>
  </si>
  <si>
    <t>Моторедуктор Переключателя потока</t>
  </si>
  <si>
    <t>Дымосос рукавного фильтра СБ</t>
  </si>
  <si>
    <t>Электродвигатель дымососа с частотным преобразователем</t>
  </si>
  <si>
    <t>L61-FN78.МТ10</t>
  </si>
  <si>
    <t>Электродвигатель  Вентилятора рукавного фильтра СБ</t>
  </si>
  <si>
    <t>Шибер на входе РФ сушильного барабана</t>
  </si>
  <si>
    <t>Шнек выгрузки рукавного фильтра сушильного барабана</t>
  </si>
  <si>
    <t>Моторедуктор Шнека выгрузки рукавного фильтра сушильного барабана</t>
  </si>
  <si>
    <t xml:space="preserve">Моторедуктор питателя ячейкового </t>
  </si>
  <si>
    <t>Переключатель потока уголь/известняк</t>
  </si>
  <si>
    <t>L51-BF55.RT10</t>
  </si>
  <si>
    <t>L51-BF55.SC10</t>
  </si>
  <si>
    <t>L51-BF55.MR10</t>
  </si>
  <si>
    <t>L51-BF55.RF20</t>
  </si>
  <si>
    <t>L51-BF55.MR20</t>
  </si>
  <si>
    <t>L51-DG57.</t>
  </si>
  <si>
    <t>L51-DG57.MR10</t>
  </si>
  <si>
    <t>L51-FN58.</t>
  </si>
  <si>
    <t>L51-FN58.MT10</t>
  </si>
  <si>
    <t>L51-BF55</t>
  </si>
  <si>
    <t>Клапан взрывной</t>
  </si>
  <si>
    <t>L51-EX54</t>
  </si>
  <si>
    <t>2.17</t>
  </si>
  <si>
    <t>2.18</t>
  </si>
  <si>
    <t>2.19</t>
  </si>
  <si>
    <t>Компенсаторы на входе/выходе фильтра</t>
  </si>
  <si>
    <t>3.</t>
  </si>
  <si>
    <t>Монтаж металлоконструкций поставки Agico Cement</t>
  </si>
  <si>
    <t>4.</t>
  </si>
  <si>
    <t>Монтаж металлоконструкций поставки Заказчика</t>
  </si>
  <si>
    <t xml:space="preserve">Устройство разгрузочное в базисный склад (передвижная тележка)                                      </t>
  </si>
  <si>
    <t xml:space="preserve">Жалюзийная заслонка регулировки горячего воздуха от холодильника ПОК №1                                </t>
  </si>
  <si>
    <t xml:space="preserve">Жалюзийная заслонка регулировки горячего воздуха от холодильника ПОК №1                                    </t>
  </si>
  <si>
    <t xml:space="preserve">Мотор-редуктор Питателя ячейковый            </t>
  </si>
  <si>
    <t xml:space="preserve">Задвижка шиберно-ножевая ДУ1300  на входе циклона №1                                                  </t>
  </si>
  <si>
    <t xml:space="preserve"> Электродвигатель Бастер-вентилятора          </t>
  </si>
  <si>
    <t xml:space="preserve">Сервопривод жалюзийной заслонка подачи горячих газов на шаровую мельницу  со сервоприводом                                </t>
  </si>
  <si>
    <t xml:space="preserve">Питатель ленточный бункера СБ №2                                  </t>
  </si>
  <si>
    <t>Эл. двигатель ленточного питателя 2 с ПЧТ</t>
  </si>
  <si>
    <t xml:space="preserve">Ленточный конвейер подачи угля с  бункера 2  ленточного конвейера                                                   </t>
  </si>
  <si>
    <t xml:space="preserve">Эл. двигатель ленточного конвейера                        </t>
  </si>
  <si>
    <t xml:space="preserve">Эл. двигатель  конвейер ленточный сухого угля№1            </t>
  </si>
  <si>
    <t xml:space="preserve">Уловитель инородных тел Уловитель инородных тел   (с автоматическим магнитным сепаратором)                                                                      </t>
  </si>
  <si>
    <t>Устройство термоизоляции объектов углеподготовительного комплекса</t>
  </si>
  <si>
    <r>
      <t>м</t>
    </r>
    <r>
      <rPr>
        <b/>
        <sz val="14"/>
        <color theme="1"/>
        <rFont val="Calibri"/>
        <family val="2"/>
        <charset val="204"/>
      </rPr>
      <t>²</t>
    </r>
  </si>
  <si>
    <t>5.</t>
  </si>
  <si>
    <t>6.</t>
  </si>
  <si>
    <t>7.</t>
  </si>
  <si>
    <t>8.</t>
  </si>
  <si>
    <t>Демонтажные работы</t>
  </si>
  <si>
    <t>9.</t>
  </si>
  <si>
    <t>Устройство ж/б конструкий и фундаментов</t>
  </si>
  <si>
    <r>
      <t>м</t>
    </r>
    <r>
      <rPr>
        <b/>
        <sz val="14"/>
        <color theme="1"/>
        <rFont val="Calibri"/>
        <family val="2"/>
        <charset val="204"/>
      </rPr>
      <t>³</t>
    </r>
  </si>
  <si>
    <t>481-CS81</t>
  </si>
  <si>
    <t>482-CS81</t>
  </si>
  <si>
    <t xml:space="preserve">Циклон газохода холодильника ПОК 1 
                                            </t>
  </si>
  <si>
    <t xml:space="preserve">Циклон газохода холодильника ПОК 2                                                              </t>
  </si>
  <si>
    <t xml:space="preserve">Циклон газохода кальцинатора ПОК 2                                                              </t>
  </si>
  <si>
    <t xml:space="preserve">Циклон газохода кальцинатора ПОК 1 
                                            </t>
  </si>
  <si>
    <t>Электромонтаж КИПиА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</si>
  <si>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</si>
  <si>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</si>
  <si>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</si>
  <si>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</si>
  <si>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</si>
  <si>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</si>
  <si>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</si>
  <si>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</si>
  <si>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</si>
  <si>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</si>
  <si>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</si>
  <si>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</si>
  <si>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</si>
  <si>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</si>
  <si>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</si>
  <si>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</si>
  <si>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</si>
  <si>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</si>
  <si>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</si>
  <si>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</si>
  <si>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</si>
  <si>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</si>
  <si>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</si>
  <si>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</si>
  <si>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</si>
  <si>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</si>
  <si>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</si>
  <si>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</si>
  <si>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</si>
  <si>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</si>
  <si>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</si>
  <si>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</si>
  <si>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</si>
  <si>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</si>
  <si>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</si>
  <si>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</si>
  <si>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</si>
  <si>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</si>
  <si>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</si>
  <si>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</si>
  <si>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</si>
  <si>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</si>
  <si>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</si>
  <si>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</si>
  <si>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</si>
  <si>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</si>
  <si>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</si>
  <si>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</si>
  <si>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</si>
  <si>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</si>
  <si>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</si>
  <si>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</si>
  <si>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</si>
  <si>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</si>
  <si>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</si>
  <si>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</si>
  <si>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</si>
  <si>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</si>
  <si>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</si>
  <si>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</si>
  <si>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</si>
  <si>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</si>
  <si>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</si>
  <si>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</si>
  <si>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</si>
  <si>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</si>
  <si>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</si>
  <si>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</si>
  <si>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</si>
  <si>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</si>
  <si>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</si>
  <si>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</si>
  <si>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</si>
  <si>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</si>
  <si>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</si>
  <si>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</si>
  <si>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</si>
  <si>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</si>
  <si>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</si>
  <si>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</si>
  <si>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</si>
  <si>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</si>
  <si>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</si>
  <si>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</si>
  <si>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</si>
  <si>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</si>
  <si>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</si>
  <si>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</si>
  <si>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</si>
  <si>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</si>
  <si>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</si>
  <si>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</si>
  <si>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</si>
  <si>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</si>
  <si>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</si>
  <si>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</si>
  <si>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</si>
  <si>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</si>
  <si>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</si>
  <si>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</si>
  <si>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</si>
  <si>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</si>
  <si>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</si>
  <si>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</si>
  <si>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</si>
  <si>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</si>
  <si>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</si>
  <si>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</si>
  <si>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</si>
  <si>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</si>
  <si>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</si>
  <si>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</si>
  <si>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</si>
  <si>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</si>
  <si>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</si>
  <si>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</si>
  <si>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</si>
  <si>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</si>
  <si>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</si>
  <si>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</si>
  <si>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</si>
  <si>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</si>
  <si>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</si>
  <si>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</si>
  <si>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</si>
  <si>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</si>
  <si>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</si>
  <si>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</si>
  <si>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</si>
  <si>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</si>
  <si>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</si>
  <si>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</si>
  <si>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</si>
  <si>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</si>
  <si>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</si>
  <si>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</si>
  <si>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</si>
  <si>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</si>
  <si>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</si>
  <si>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</si>
  <si>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</si>
  <si>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</si>
  <si>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r>
      <t>Устройство термоизоляции  рукавных фильтров 78 000 м</t>
    </r>
    <r>
      <rPr>
        <sz val="11"/>
        <color theme="1"/>
        <rFont val="Calibri"/>
        <family val="2"/>
        <charset val="204"/>
      </rPr>
      <t>³</t>
    </r>
    <r>
      <rPr>
        <sz val="12.6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и 100 000 м³  из минеральной ваты толщиной 75мм. (Два фильтра в одном корпусе с перегородкой)</t>
    </r>
  </si>
  <si>
    <t>Устройство защитного слоя термоизоляции рукавных фильтров 78 000 м³ и 100 000 м³ из алюминиевого листа 0,56 мм. (Два фильтра в одном корпусе с перегородкой)</t>
  </si>
  <si>
    <t>L51-BF55
L61-BF75</t>
  </si>
  <si>
    <t xml:space="preserve"> Устройство термоизоляции циклонов газохода от холодильника ПОК№1 из минеральной ваты 100 мм, включая осаждающий бункер (1 циклон~91,7 м²) – 2шт</t>
  </si>
  <si>
    <t>Устройство защитного слоя термоизоляции циклонов газохода от холодильника ПОК№1 из оцинкованного листа 0,5 мм, включая осаждающий бункер (1 циклон~91,7 м²) – 2 шт</t>
  </si>
  <si>
    <t xml:space="preserve"> Устройство термоизоляции циклонов газохода от холодильника ПОК№2 из минеральной ваты 100 мм, включая осаждающий бункер (1 циклон~91,7 м²) – 2шт</t>
  </si>
  <si>
    <t>Устройство защитного слоя термоизоляции циклонов газохода от холодильника ПОК№2 из оцинкованного листа 0,5 мм, включая осаждающий бункер (1 циклон~91,7 м²) – 2 шт</t>
  </si>
  <si>
    <r>
      <t xml:space="preserve">Устройство термоизоляции газохода подачи горячих газов от холодильников ПОК №1 и №2, </t>
    </r>
    <r>
      <rPr>
        <sz val="11"/>
        <color theme="1"/>
        <rFont val="Calibri"/>
        <family val="2"/>
        <charset val="204"/>
      </rPr>
      <t>Ø</t>
    </r>
    <r>
      <rPr>
        <sz val="12.65"/>
        <color theme="1"/>
        <rFont val="Calibri"/>
        <family val="2"/>
      </rPr>
      <t>1450 из минеральной ваты толщиной 100 мм</t>
    </r>
  </si>
  <si>
    <t>L41-DU21
L41-DU22
L41-DU25</t>
  </si>
  <si>
    <t xml:space="preserve"> Устройство термоизоляции циклона газохода кальцинатора ПОК1 из минеральной ваты 100 мм</t>
  </si>
  <si>
    <r>
      <t xml:space="preserve">Устройство защитного слоя термоизоляции газохода подачи горячих газов от холодильников ПОК №1 и №2, </t>
    </r>
    <r>
      <rPr>
        <sz val="11"/>
        <color theme="1"/>
        <rFont val="Calibri"/>
        <family val="2"/>
        <charset val="204"/>
      </rPr>
      <t>Ø</t>
    </r>
    <r>
      <rPr>
        <sz val="12.65"/>
        <color theme="1"/>
        <rFont val="Calibri"/>
        <family val="2"/>
      </rPr>
      <t>1450 из</t>
    </r>
    <r>
      <rPr>
        <sz val="11"/>
        <color theme="1"/>
        <rFont val="Calibri"/>
        <family val="2"/>
        <scheme val="minor"/>
      </rPr>
      <t xml:space="preserve"> оцинкованного листа 0,5 мм</t>
    </r>
  </si>
  <si>
    <t xml:space="preserve"> Устройство термоизоляции циклона газохода кальцинатора ПОК2 из минеральной ваты 100 мм</t>
  </si>
  <si>
    <r>
      <t xml:space="preserve">Устройство термоизоляции газохода подачи горячих газов от кальцинаторов ПОК №1 и №2, </t>
    </r>
    <r>
      <rPr>
        <sz val="11"/>
        <color theme="1"/>
        <rFont val="Calibri"/>
        <family val="2"/>
        <charset val="204"/>
      </rPr>
      <t>Ø</t>
    </r>
    <r>
      <rPr>
        <sz val="12.65"/>
        <color theme="1"/>
        <rFont val="Calibri"/>
        <family val="2"/>
      </rPr>
      <t>1300 из минеральной ваты толщиной 100 мм</t>
    </r>
  </si>
  <si>
    <t xml:space="preserve"> Устройство защитного слоя термоизоляции циклона газохода кальцинатора ПОК2 из оцинкованного листа 0,5 мм</t>
  </si>
  <si>
    <r>
      <t xml:space="preserve">Устройство защитного слоя термоизоляции газохода подачи горячих газов от кальцинаторов ПОК №1 и №2, </t>
    </r>
    <r>
      <rPr>
        <sz val="11"/>
        <color theme="1"/>
        <rFont val="Calibri"/>
        <family val="2"/>
        <charset val="204"/>
      </rPr>
      <t>Ø</t>
    </r>
    <r>
      <rPr>
        <sz val="12.65"/>
        <color theme="1"/>
        <rFont val="Calibri"/>
        <family val="2"/>
      </rPr>
      <t>1300 из оцинкованного листа 0,5 мм</t>
    </r>
  </si>
  <si>
    <t xml:space="preserve"> Устройство защитного слоя термоизоляции циклона газохода кальцинатора ПОК1 из оцинкованного листа 0,5 мм</t>
  </si>
  <si>
    <t>L41-DU32
L42-DU35
L41-DU38</t>
  </si>
  <si>
    <t>IFH-ER-32579</t>
  </si>
  <si>
    <t>Галерея ленточных транспортёров. Дробилка для твердого топлива с  распределительным транспортером</t>
  </si>
  <si>
    <t>Сушильное отделение твёрдого топлива</t>
  </si>
  <si>
    <t>Сушильный барабан твёрдого топлива КМ ( приямок элеватора , галерея подземная)</t>
  </si>
  <si>
    <t>Сушильный барабан твёрдого топлива КМ1 (вариант с металлическими  колоннами_ силос угольного порошка)</t>
  </si>
  <si>
    <t xml:space="preserve">Дымовая труба сушильного отделения твёрдого топлива и  отделения помола твёрдого топлива 
-	опоры под газоходы
-	газоходы (лист 6 мм)
(в т.ч. прокатн. профиль – 1,2т) </t>
  </si>
  <si>
    <t>Здание рукавных фильтров сушильного отделения и отделения помола твёрдого топлива (рама под фильтр)</t>
  </si>
  <si>
    <t xml:space="preserve">Отделение помола твёрдого топлива
с шаровой мельницей  Ø3,2х8,5м.
-  Крановая эстакада
-Здание моторного отделения 
-Сепараторная этажерка </t>
  </si>
  <si>
    <t xml:space="preserve">60-0366-258КМ </t>
  </si>
  <si>
    <t>60-0366-083-КМ1
60-0366-083-ТХ</t>
  </si>
  <si>
    <r>
      <t>Устройство стенового ограждения этажерки силоса 200 м</t>
    </r>
    <r>
      <rPr>
        <sz val="11"/>
        <color theme="1"/>
        <rFont val="Calibri"/>
        <family val="2"/>
        <charset val="204"/>
      </rPr>
      <t>³</t>
    </r>
    <r>
      <rPr>
        <sz val="12.6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из сэндвич-панелей (100 мм).</t>
    </r>
  </si>
  <si>
    <t>Устройство кровли  этажерки силоса 200 м³ из кровельных сэндвич-панелей (120 мм) в осях 1-6.</t>
  </si>
  <si>
    <t>Устройство стенового ограждения этажеркисилоса 100 м³ из сэндвич-панелей (100 мм).</t>
  </si>
  <si>
    <t>Устройство кровли  этажерки силоса 100 м³ из кровельных сэндвич-панелей (120 мм) в осях 1-6.</t>
  </si>
  <si>
    <t>Устройство стенового ограждения здания моторного отделения шаровой мельницы из профнастила</t>
  </si>
  <si>
    <t>Устройство кровли здания моторного отделения шаровой мельницы из профнастила</t>
  </si>
  <si>
    <t>Устройство покрытия входа подземнойгалереи сушильного отделения из профнастила Н57-750Х0.8</t>
  </si>
  <si>
    <t>  Демонтаж существующих конструкций фахверка здания сушильного отделения в осях 10-12</t>
  </si>
  <si>
    <t>Демонтаж газовой горелки печи обжига клинкера №1</t>
  </si>
  <si>
    <t>Демонтаж газовой горелки печи обжига клинкера №2</t>
  </si>
  <si>
    <t>Демонтаж существующих конструкций площадок здания сушильного отделения на отм. +7500, +9500 в осях 10-12</t>
  </si>
  <si>
    <t>Устройство ограждающих конструкций и кровли  объектов углеподготовительного комплекса</t>
  </si>
  <si>
    <t>60-0366-258-КЖ
60-0366-258-КЖ1</t>
  </si>
  <si>
    <t>60-0366-259 -КЖ</t>
  </si>
  <si>
    <t>60-0366-083-КЖ</t>
  </si>
  <si>
    <t>Фундаменты и подпорная стенка  объекта "Силос хранения молотого угля 200м3". В объем включены ж/б перекрытия этажерки.</t>
  </si>
  <si>
    <t>Фундаменты объекта "Силос хранения молотого угля 100м3". В объем включены ж/б перекрытия этажерки.</t>
  </si>
  <si>
    <t xml:space="preserve">Фундаменты объекта "Сушильное отделение твердого топлива. Сушильный барабан твердого топлива". </t>
  </si>
  <si>
    <t>Фундаменты объекта "Отделение помола твердого топлива с шаровой мельницей"</t>
  </si>
  <si>
    <t>Фундаменты объекта" Здание рукавных фильтров сушильного отделения и отделения помола твердого топлива"</t>
  </si>
  <si>
    <t>Фундаменты объекта "Газоход подачи горячего воздуха от холодильников ПОК 1-2 в сушильное отделение твердого топлива"</t>
  </si>
  <si>
    <t>Фундаменты объекта "Пневмоподача молотого топлива в силос 200 м3 и силос 100 м3"</t>
  </si>
  <si>
    <t>Ж/б конструкции объекта "Горячая часть печи ПОК 1-2 с комбинированными горелками"</t>
  </si>
  <si>
    <t>Фундаменты объекта "Газоход подачи горячего воздуха от кальцинаторов ПОК 1-3 в отделение помола твердого топлива"</t>
  </si>
  <si>
    <t>Фундаменты объекта "Здание приемного устройства "Помол". Перегрузочная."</t>
  </si>
  <si>
    <t>60-0366-94/92/91- КЖ</t>
  </si>
  <si>
    <t>Внешнее и внутреннее электроснабжение распределительной подстанции среднего напряжения</t>
  </si>
  <si>
    <t>Внешнее и внутреннее электроснабжение приемного устройства. КТПН 5ТП2</t>
  </si>
  <si>
    <t>Внешнее и внутренне электроснабжение 5ТП1</t>
  </si>
  <si>
    <t>Монтаж технологического оборудования поставки Заказчика</t>
  </si>
  <si>
    <t>60-0366-089-КМ</t>
  </si>
  <si>
    <t>Сумма</t>
  </si>
  <si>
    <t>Цена за ед., Дол. США</t>
  </si>
  <si>
    <t>ИТОГО</t>
  </si>
  <si>
    <t xml:space="preserve">Газоход подачи горячего воздуха от холодильников ПОК1-2 в сушильное отделение твёрдого топлива
-опоры газохода 
- газоход   Ø1450х 6мм
(в т.ч. прокатный профиль – 4,25т) </t>
  </si>
  <si>
    <t>Газоход подачи горячего воздуха от кальцинаторов ПОК1-2 в отделение помола твёрдого топлива
- опоры газохода 
- газоход Ø1300х 6мм
(в т.ч. прокатный профиль – 2,6т)</t>
  </si>
  <si>
    <t>Силос молотого топлива 200м3 с системой дозирования и транспортировки молотого топлива во вращающиеся печи №1-2</t>
  </si>
  <si>
    <t>Силос молотого топлива 100м3 с системой дозирования и транспортировки молотого топлива во вращающиеся печи №1-2</t>
  </si>
  <si>
    <t>Монтаж технологического оборудования поставки Agico Cement</t>
  </si>
  <si>
    <t>Ж/б конструкции объекта " Галерея ленточных транспортеров. Дробилка для твердого топлива"</t>
  </si>
  <si>
    <t>60-0366-089-КЖ</t>
  </si>
  <si>
    <t>L91-WF97.MR10
L91-WF97.MT10
L91-WF97.MT20</t>
  </si>
  <si>
    <t>L91-WF95.MR10
L91-WF95.MT10
L91-WF95.MT20</t>
  </si>
  <si>
    <t>Стоимость</t>
  </si>
  <si>
    <r>
      <t>Высоковольтные шкафы, низковольтные шкафы, шкафы MCC и локальные шкафы управления,  -</t>
    </r>
    <r>
      <rPr>
        <b/>
        <sz val="11"/>
        <color theme="1"/>
        <rFont val="Calibri"/>
        <family val="2"/>
        <charset val="204"/>
        <scheme val="minor"/>
      </rPr>
      <t xml:space="preserve"> 100 шт</t>
    </r>
  </si>
  <si>
    <r>
      <t xml:space="preserve">Прокладка кабелей, - </t>
    </r>
    <r>
      <rPr>
        <b/>
        <sz val="11"/>
        <color theme="1"/>
        <rFont val="Calibri"/>
        <family val="2"/>
        <charset val="204"/>
        <scheme val="minor"/>
      </rPr>
      <t>25 000 м.п.</t>
    </r>
  </si>
  <si>
    <r>
      <t xml:space="preserve">Монтаж кабельных лотков, - </t>
    </r>
    <r>
      <rPr>
        <b/>
        <sz val="11"/>
        <color theme="1"/>
        <rFont val="Calibri"/>
        <family val="2"/>
        <charset val="204"/>
        <scheme val="minor"/>
      </rPr>
      <t>5000 м.п.</t>
    </r>
  </si>
  <si>
    <r>
      <t xml:space="preserve">Контрольно-измерительные приборы. Включая систему автоматического управления и 1 комплект операторского пульта, - </t>
    </r>
    <r>
      <rPr>
        <b/>
        <sz val="11"/>
        <color theme="1"/>
        <rFont val="Calibri"/>
        <family val="2"/>
        <charset val="204"/>
        <scheme val="minor"/>
      </rPr>
      <t>1000 шт</t>
    </r>
  </si>
  <si>
    <t>к-т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</si>
</sst>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</font>
    <font>
      <sz val="12.65"/>
      <color theme="1"/>
      <name val="Calibri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4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justify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justify" vertical="center" wrapText="1"/>
    </xf>
    <xf numFmtId="0" fontId="3" fillId="6" borderId="4" xfId="0" applyFont="1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2" fontId="10" fillId="3" borderId="5" xfId="0" applyNumberFormat="1" applyFont="1" applyFill="1" applyBorder="1" applyAlignment="1">
      <alignment horizontal="center" vertical="center" wrapText="1"/>
    </xf>
    <xf numFmtId="164" fontId="10" fillId="3" borderId="5" xfId="0" applyNumberFormat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5" borderId="5" xfId="0" applyNumberForma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0" fillId="0" borderId="8" xfId="0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/>
    </xf>
    <xf numFmtId="164" fontId="0" fillId="0" borderId="5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61CB-E042-42B0-BC68-EDA0EF9A87C9}">
  <dimension ref="A1:E10"/>
  <sheetViews>
    <sheetView workbookViewId="0">
      <selection activeCell="D10" sqref="D10"/>
    </sheetView>
  </sheetViews>
  <sheetFormatPr defaultRowHeight="15" x14ac:dyDescent="0.25"/>
  <cols>
    <col min="2" max="2" width="18.28515625" customWidth="1"/>
    <col min="4" max="4" width="11.140625" customWidth="1"/>
    <col min="5" max="5" width="45.7109375" customWidth="1"/>
  </cols>
  <sheetData>
    <row r="1" spans="1:5" ht="16.5" thickBot="1" x14ac:dyDescent="0.3">
      <c r="A1" s="1" t="s">
        <v>0</v>
      </c>
      <c r="B1" s="2" t="s">
        <v>39</v>
      </c>
      <c r="C1" s="2" t="s">
        <v>40</v>
      </c>
      <c r="D1" s="2" t="s">
        <v>41</v>
      </c>
      <c r="E1" s="2" t="s">
        <v>42</v>
      </c>
    </row>
    <row r="2" spans="1:5" ht="63.75" thickBot="1" x14ac:dyDescent="0.3">
      <c r="A2" s="14">
        <v>1</v>
      </c>
      <c r="B2" s="15" t="s">
        <v>15</v>
      </c>
      <c r="C2" s="16" t="s">
        <v>10</v>
      </c>
      <c r="D2" s="15" t="s">
        <v>43</v>
      </c>
      <c r="E2" s="15" t="s">
        <v>44</v>
      </c>
    </row>
    <row r="3" spans="1:5" ht="63.75" thickBot="1" x14ac:dyDescent="0.3">
      <c r="A3" s="14">
        <v>2</v>
      </c>
      <c r="B3" s="15" t="s">
        <v>9</v>
      </c>
      <c r="C3" s="16" t="s">
        <v>10</v>
      </c>
      <c r="D3" s="15" t="s">
        <v>43</v>
      </c>
      <c r="E3" s="15" t="s">
        <v>45</v>
      </c>
    </row>
    <row r="4" spans="1:5" ht="48" thickBot="1" x14ac:dyDescent="0.3">
      <c r="A4" s="11">
        <v>3</v>
      </c>
      <c r="B4" s="12" t="s">
        <v>16</v>
      </c>
      <c r="C4" s="13" t="s">
        <v>10</v>
      </c>
      <c r="D4" s="12" t="s">
        <v>43</v>
      </c>
      <c r="E4" s="12" t="s">
        <v>46</v>
      </c>
    </row>
    <row r="5" spans="1:5" ht="32.25" thickBot="1" x14ac:dyDescent="0.3">
      <c r="A5" s="14">
        <v>4</v>
      </c>
      <c r="B5" s="15" t="s">
        <v>17</v>
      </c>
      <c r="C5" s="16" t="s">
        <v>13</v>
      </c>
      <c r="D5" s="15" t="s">
        <v>47</v>
      </c>
      <c r="E5" s="15" t="s">
        <v>48</v>
      </c>
    </row>
    <row r="6" spans="1:5" ht="32.25" thickBot="1" x14ac:dyDescent="0.3">
      <c r="A6" s="14">
        <v>5</v>
      </c>
      <c r="B6" s="15" t="s">
        <v>26</v>
      </c>
      <c r="C6" s="16" t="s">
        <v>10</v>
      </c>
      <c r="D6" s="15" t="s">
        <v>49</v>
      </c>
      <c r="E6" s="15" t="s">
        <v>50</v>
      </c>
    </row>
    <row r="7" spans="1:5" ht="48" thickBot="1" x14ac:dyDescent="0.3">
      <c r="A7" s="14">
        <v>6</v>
      </c>
      <c r="B7" s="15" t="s">
        <v>21</v>
      </c>
      <c r="C7" s="16" t="s">
        <v>884</v>
      </c>
      <c r="D7" s="15" t="s">
        <v>20</v>
      </c>
      <c r="E7" s="15" t="s">
        <v>51</v>
      </c>
    </row>
    <row r="8" spans="1:5" ht="32.25" thickBot="1" x14ac:dyDescent="0.3">
      <c r="A8" s="11">
        <v>7</v>
      </c>
      <c r="B8" s="12" t="s">
        <v>18</v>
      </c>
      <c r="C8" s="13" t="s">
        <v>19</v>
      </c>
      <c r="D8" s="12" t="s">
        <v>20</v>
      </c>
      <c r="E8" s="12" t="s">
        <v>52</v>
      </c>
    </row>
    <row r="9" spans="1:5" ht="32.25" thickBot="1" x14ac:dyDescent="0.3">
      <c r="A9" s="14">
        <v>8</v>
      </c>
      <c r="B9" s="15" t="s">
        <v>22</v>
      </c>
      <c r="C9" s="16" t="s">
        <v>13</v>
      </c>
      <c r="D9" s="15" t="s">
        <v>43</v>
      </c>
      <c r="E9" s="15" t="s">
        <v>53</v>
      </c>
    </row>
    <row r="10" spans="1:5" ht="32.25" thickBot="1" x14ac:dyDescent="0.3">
      <c r="A10" s="14">
        <v>9</v>
      </c>
      <c r="B10" s="15" t="s">
        <v>12</v>
      </c>
      <c r="C10" s="16" t="s">
        <v>14</v>
      </c>
      <c r="D10" s="15" t="s">
        <v>43</v>
      </c>
      <c r="E10" s="15" t="s">
        <v>54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BAA3-3673-4DD5-9487-D91321F2FC37}">
  <sheetPr>
    <outlinePr summaryBelow="0"/>
  </sheetPr>
  <dimension ref="A1:J360"/>
  <sheetViews>
    <sheetView tabSelected="1" topLeftCell="A309" zoomScale="115" zoomScaleNormal="115" workbookViewId="0">
      <selection activeCell="D360" sqref="D360"/>
    </sheetView>
  </sheetViews>
  <sheetFormatPr defaultRowHeight="15" outlineLevelRow="1" x14ac:dyDescent="0.25"/>
  <cols>
    <col min="1" max="1" width="7.85546875" style="6" customWidth="1"/>
    <col min="2" max="2" width="18" style="6" customWidth="1"/>
    <col min="3" max="3" width="53" style="26" customWidth="1"/>
    <col min="4" max="4" width="20.28515625" style="6" customWidth="1"/>
    <col min="5" max="5" width="21.42578125" style="6" customWidth="1"/>
    <col min="6" max="7" width="9.140625" style="6"/>
    <col min="8" max="8" width="27.5703125" style="6" customWidth="1"/>
    <col min="9" max="9" width="15" style="6" customWidth="1"/>
    <col min="10" max="10" width="18.140625" style="6" customWidth="1"/>
    <col min="11" max="16384" width="9.140625" style="6"/>
  </cols>
  <sheetData>
    <row r="1" spans="1:10" ht="31.5" x14ac:dyDescent="0.25">
      <c r="A1" s="4" t="s">
        <v>0</v>
      </c>
      <c r="B1" s="4" t="s">
        <v>56</v>
      </c>
      <c r="C1" s="20" t="s">
        <v>1</v>
      </c>
      <c r="D1" s="4" t="s">
        <v>2</v>
      </c>
      <c r="E1" s="4" t="s">
        <v>3</v>
      </c>
      <c r="F1" s="43" t="s">
        <v>4</v>
      </c>
      <c r="G1" s="44"/>
      <c r="H1" s="4" t="s">
        <v>5</v>
      </c>
      <c r="I1" s="4" t="s">
        <v>868</v>
      </c>
      <c r="J1" s="4" t="s">
        <v>867</v>
      </c>
    </row>
    <row r="2" spans="1:10" ht="15.75" x14ac:dyDescent="0.25">
      <c r="A2" s="4"/>
      <c r="B2" s="4"/>
      <c r="C2" s="20"/>
      <c r="D2" s="4"/>
      <c r="E2" s="4"/>
      <c r="F2" s="4" t="s">
        <v>6</v>
      </c>
      <c r="G2" s="4" t="s">
        <v>7</v>
      </c>
      <c r="H2" s="4"/>
      <c r="I2" s="4"/>
      <c r="J2" s="4"/>
    </row>
    <row r="3" spans="1:10" ht="15.75" x14ac:dyDescent="0.25">
      <c r="A3" s="3">
        <v>1</v>
      </c>
      <c r="B3" s="3"/>
      <c r="C3" s="21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5">
        <v>8</v>
      </c>
      <c r="J3" s="5">
        <v>9</v>
      </c>
    </row>
    <row r="4" spans="1:10" ht="18.75" collapsed="1" x14ac:dyDescent="0.25">
      <c r="A4" s="10" t="s">
        <v>55</v>
      </c>
      <c r="B4" s="38" t="s">
        <v>874</v>
      </c>
      <c r="C4" s="38"/>
      <c r="D4" s="37"/>
      <c r="E4" s="37"/>
      <c r="F4" s="10" t="s">
        <v>10</v>
      </c>
      <c r="G4" s="28">
        <f>SUM(G5:G180)</f>
        <v>473.08000000000021</v>
      </c>
      <c r="H4" s="10"/>
      <c r="I4" s="29"/>
      <c r="J4" s="29">
        <f>SUM(J5:J180)</f>
        <v>0</v>
      </c>
    </row>
    <row r="5" spans="1:10" ht="30" hidden="1" outlineLevel="1" x14ac:dyDescent="0.25">
      <c r="A5" s="9" t="s">
        <v>393</v>
      </c>
      <c r="B5" s="22" t="s">
        <v>57</v>
      </c>
      <c r="C5" s="22" t="s">
        <v>244</v>
      </c>
      <c r="D5" s="5" t="s">
        <v>8</v>
      </c>
      <c r="E5" s="5" t="s">
        <v>15</v>
      </c>
      <c r="F5" s="7" t="str">
        <f>VLOOKUP($E5,'Приложение 4'!$B$2:$C$10,2,FALSE)</f>
        <v>т</v>
      </c>
      <c r="G5" s="7">
        <v>2.2000000000000002</v>
      </c>
      <c r="H5" s="5"/>
      <c r="I5" s="30">
        <v>0</v>
      </c>
      <c r="J5" s="30">
        <f>G5*I5</f>
        <v>0</v>
      </c>
    </row>
    <row r="6" spans="1:10" ht="30" hidden="1" outlineLevel="1" x14ac:dyDescent="0.25">
      <c r="A6" s="9" t="s">
        <v>394</v>
      </c>
      <c r="B6" s="22" t="s">
        <v>58</v>
      </c>
      <c r="C6" s="22" t="s">
        <v>235</v>
      </c>
      <c r="D6" s="5" t="s">
        <v>8</v>
      </c>
      <c r="E6" s="5" t="s">
        <v>15</v>
      </c>
      <c r="F6" s="7" t="str">
        <f>VLOOKUP($E6,'Приложение 4'!$B$2:$C$10,2,FALSE)</f>
        <v>т</v>
      </c>
      <c r="G6" s="7">
        <v>2.2000000000000002</v>
      </c>
      <c r="H6" s="5"/>
      <c r="I6" s="30">
        <v>0</v>
      </c>
      <c r="J6" s="30">
        <f t="shared" ref="J6:J69" si="0">G6*I6</f>
        <v>0</v>
      </c>
    </row>
    <row r="7" spans="1:10" ht="30" hidden="1" outlineLevel="1" x14ac:dyDescent="0.25">
      <c r="A7" s="9" t="s">
        <v>395</v>
      </c>
      <c r="B7" s="22" t="s">
        <v>59</v>
      </c>
      <c r="C7" s="22" t="s">
        <v>236</v>
      </c>
      <c r="D7" s="5" t="s">
        <v>8</v>
      </c>
      <c r="E7" s="5" t="s">
        <v>15</v>
      </c>
      <c r="F7" s="7" t="str">
        <f>VLOOKUP($E7,'Приложение 4'!$B$2:$C$10,2,FALSE)</f>
        <v>т</v>
      </c>
      <c r="G7" s="7">
        <v>2.2000000000000002</v>
      </c>
      <c r="H7" s="5"/>
      <c r="I7" s="30">
        <v>0</v>
      </c>
      <c r="J7" s="30">
        <f t="shared" si="0"/>
        <v>0</v>
      </c>
    </row>
    <row r="8" spans="1:10" ht="30" hidden="1" outlineLevel="1" x14ac:dyDescent="0.25">
      <c r="A8" s="9" t="s">
        <v>396</v>
      </c>
      <c r="B8" s="22" t="s">
        <v>60</v>
      </c>
      <c r="C8" s="22" t="s">
        <v>237</v>
      </c>
      <c r="D8" s="5" t="s">
        <v>8</v>
      </c>
      <c r="E8" s="5" t="s">
        <v>15</v>
      </c>
      <c r="F8" s="7" t="str">
        <f>VLOOKUP($E8,'Приложение 4'!$B$2:$C$10,2,FALSE)</f>
        <v>т</v>
      </c>
      <c r="G8" s="7">
        <v>0.8</v>
      </c>
      <c r="H8" s="5"/>
      <c r="I8" s="30">
        <v>0</v>
      </c>
      <c r="J8" s="30">
        <f t="shared" si="0"/>
        <v>0</v>
      </c>
    </row>
    <row r="9" spans="1:10" ht="30" hidden="1" outlineLevel="1" x14ac:dyDescent="0.25">
      <c r="A9" s="9" t="s">
        <v>397</v>
      </c>
      <c r="B9" s="22" t="s">
        <v>61</v>
      </c>
      <c r="C9" s="22" t="s">
        <v>238</v>
      </c>
      <c r="D9" s="5" t="s">
        <v>8</v>
      </c>
      <c r="E9" s="5" t="s">
        <v>15</v>
      </c>
      <c r="F9" s="7" t="str">
        <f>VLOOKUP($E9,'Приложение 4'!$B$2:$C$10,2,FALSE)</f>
        <v>т</v>
      </c>
      <c r="G9" s="7">
        <v>10</v>
      </c>
      <c r="H9" s="5"/>
      <c r="I9" s="30">
        <v>0</v>
      </c>
      <c r="J9" s="30">
        <f t="shared" si="0"/>
        <v>0</v>
      </c>
    </row>
    <row r="10" spans="1:10" ht="30" hidden="1" outlineLevel="1" x14ac:dyDescent="0.25">
      <c r="A10" s="9" t="s">
        <v>398</v>
      </c>
      <c r="B10" s="22" t="s">
        <v>62</v>
      </c>
      <c r="C10" s="22" t="s">
        <v>239</v>
      </c>
      <c r="D10" s="5" t="s">
        <v>8</v>
      </c>
      <c r="E10" s="5" t="s">
        <v>15</v>
      </c>
      <c r="F10" s="7" t="str">
        <f>VLOOKUP($E10,'Приложение 4'!$B$2:$C$10,2,FALSE)</f>
        <v>т</v>
      </c>
      <c r="G10" s="7">
        <v>1.2</v>
      </c>
      <c r="H10" s="5"/>
      <c r="I10" s="30">
        <v>0</v>
      </c>
      <c r="J10" s="30">
        <f t="shared" si="0"/>
        <v>0</v>
      </c>
    </row>
    <row r="11" spans="1:10" ht="30" hidden="1" outlineLevel="1" x14ac:dyDescent="0.25">
      <c r="A11" s="9" t="s">
        <v>399</v>
      </c>
      <c r="B11" s="22" t="s">
        <v>63</v>
      </c>
      <c r="C11" s="22" t="s">
        <v>246</v>
      </c>
      <c r="D11" s="5" t="s">
        <v>8</v>
      </c>
      <c r="E11" s="5" t="s">
        <v>15</v>
      </c>
      <c r="F11" s="7" t="str">
        <f>VLOOKUP($E11,'Приложение 4'!$B$2:$C$10,2,FALSE)</f>
        <v>т</v>
      </c>
      <c r="G11" s="7">
        <v>0.2</v>
      </c>
      <c r="H11" s="5"/>
      <c r="I11" s="30">
        <v>0</v>
      </c>
      <c r="J11" s="30">
        <f t="shared" si="0"/>
        <v>0</v>
      </c>
    </row>
    <row r="12" spans="1:10" ht="30" hidden="1" outlineLevel="1" x14ac:dyDescent="0.25">
      <c r="A12" s="9" t="s">
        <v>400</v>
      </c>
      <c r="B12" s="22" t="s">
        <v>64</v>
      </c>
      <c r="C12" s="22" t="s">
        <v>245</v>
      </c>
      <c r="D12" s="5" t="s">
        <v>8</v>
      </c>
      <c r="E12" s="5" t="s">
        <v>15</v>
      </c>
      <c r="F12" s="7" t="str">
        <f>VLOOKUP($E12,'Приложение 4'!$B$2:$C$10,2,FALSE)</f>
        <v>т</v>
      </c>
      <c r="G12" s="7">
        <v>0.8</v>
      </c>
      <c r="H12" s="5"/>
      <c r="I12" s="30">
        <v>0</v>
      </c>
      <c r="J12" s="30">
        <f t="shared" si="0"/>
        <v>0</v>
      </c>
    </row>
    <row r="13" spans="1:10" ht="30" hidden="1" outlineLevel="1" x14ac:dyDescent="0.25">
      <c r="A13" s="9" t="s">
        <v>401</v>
      </c>
      <c r="B13" s="22" t="s">
        <v>65</v>
      </c>
      <c r="C13" s="22" t="s">
        <v>637</v>
      </c>
      <c r="D13" s="5" t="s">
        <v>8</v>
      </c>
      <c r="E13" s="5" t="s">
        <v>15</v>
      </c>
      <c r="F13" s="7" t="str">
        <f>VLOOKUP($E13,'Приложение 4'!$B$2:$C$10,2,FALSE)</f>
        <v>т</v>
      </c>
      <c r="G13" s="7">
        <v>6.5</v>
      </c>
      <c r="H13" s="5"/>
      <c r="I13" s="30">
        <v>0</v>
      </c>
      <c r="J13" s="30">
        <f t="shared" si="0"/>
        <v>0</v>
      </c>
    </row>
    <row r="14" spans="1:10" ht="30" hidden="1" outlineLevel="1" x14ac:dyDescent="0.25">
      <c r="A14" s="9" t="s">
        <v>402</v>
      </c>
      <c r="B14" s="22" t="s">
        <v>66</v>
      </c>
      <c r="C14" s="22" t="s">
        <v>638</v>
      </c>
      <c r="D14" s="5" t="s">
        <v>8</v>
      </c>
      <c r="E14" s="5" t="s">
        <v>15</v>
      </c>
      <c r="F14" s="7" t="str">
        <f>VLOOKUP($E14,'Приложение 4'!$B$2:$C$10,2,FALSE)</f>
        <v>т</v>
      </c>
      <c r="G14" s="7">
        <v>0.8</v>
      </c>
      <c r="H14" s="5"/>
      <c r="I14" s="30">
        <v>0</v>
      </c>
      <c r="J14" s="30">
        <f t="shared" si="0"/>
        <v>0</v>
      </c>
    </row>
    <row r="15" spans="1:10" ht="30" hidden="1" outlineLevel="1" x14ac:dyDescent="0.25">
      <c r="A15" s="9" t="s">
        <v>403</v>
      </c>
      <c r="B15" s="22" t="s">
        <v>67</v>
      </c>
      <c r="C15" s="22" t="s">
        <v>639</v>
      </c>
      <c r="D15" s="5" t="s">
        <v>8</v>
      </c>
      <c r="E15" s="5" t="s">
        <v>15</v>
      </c>
      <c r="F15" s="7" t="str">
        <f>VLOOKUP($E15,'Приложение 4'!$B$2:$C$10,2,FALSE)</f>
        <v>т</v>
      </c>
      <c r="G15" s="7">
        <v>0.8</v>
      </c>
      <c r="H15" s="5"/>
      <c r="I15" s="30">
        <v>0</v>
      </c>
      <c r="J15" s="30">
        <f t="shared" si="0"/>
        <v>0</v>
      </c>
    </row>
    <row r="16" spans="1:10" ht="30" hidden="1" outlineLevel="1" x14ac:dyDescent="0.25">
      <c r="A16" s="9" t="s">
        <v>404</v>
      </c>
      <c r="B16" s="22" t="s">
        <v>68</v>
      </c>
      <c r="C16" s="22" t="s">
        <v>247</v>
      </c>
      <c r="D16" s="5" t="s">
        <v>8</v>
      </c>
      <c r="E16" s="5" t="s">
        <v>15</v>
      </c>
      <c r="F16" s="7" t="str">
        <f>VLOOKUP($E16,'Приложение 4'!$B$2:$C$10,2,FALSE)</f>
        <v>т</v>
      </c>
      <c r="G16" s="7">
        <v>0.8</v>
      </c>
      <c r="H16" s="5"/>
      <c r="I16" s="30">
        <v>0</v>
      </c>
      <c r="J16" s="30">
        <f t="shared" si="0"/>
        <v>0</v>
      </c>
    </row>
    <row r="17" spans="1:10" ht="30" hidden="1" outlineLevel="1" x14ac:dyDescent="0.25">
      <c r="A17" s="9" t="s">
        <v>405</v>
      </c>
      <c r="B17" s="22" t="s">
        <v>69</v>
      </c>
      <c r="C17" s="22" t="s">
        <v>248</v>
      </c>
      <c r="D17" s="5" t="s">
        <v>8</v>
      </c>
      <c r="E17" s="5" t="s">
        <v>15</v>
      </c>
      <c r="F17" s="7" t="str">
        <f>VLOOKUP($E17,'Приложение 4'!$B$2:$C$10,2,FALSE)</f>
        <v>т</v>
      </c>
      <c r="G17" s="7">
        <v>3.5</v>
      </c>
      <c r="H17" s="5"/>
      <c r="I17" s="30">
        <v>0</v>
      </c>
      <c r="J17" s="30">
        <f t="shared" si="0"/>
        <v>0</v>
      </c>
    </row>
    <row r="18" spans="1:10" ht="30" hidden="1" outlineLevel="1" x14ac:dyDescent="0.25">
      <c r="A18" s="9" t="s">
        <v>406</v>
      </c>
      <c r="B18" s="22" t="s">
        <v>70</v>
      </c>
      <c r="C18" s="22" t="s">
        <v>249</v>
      </c>
      <c r="D18" s="5" t="s">
        <v>8</v>
      </c>
      <c r="E18" s="5" t="s">
        <v>15</v>
      </c>
      <c r="F18" s="7" t="str">
        <f>VLOOKUP($E18,'Приложение 4'!$B$2:$C$10,2,FALSE)</f>
        <v>т</v>
      </c>
      <c r="G18" s="7">
        <v>0</v>
      </c>
      <c r="H18" s="5"/>
      <c r="I18" s="30">
        <v>0</v>
      </c>
      <c r="J18" s="30">
        <f t="shared" si="0"/>
        <v>0</v>
      </c>
    </row>
    <row r="19" spans="1:10" ht="60" hidden="1" outlineLevel="1" x14ac:dyDescent="0.25">
      <c r="A19" s="17" t="s">
        <v>407</v>
      </c>
      <c r="B19" s="23" t="s">
        <v>71</v>
      </c>
      <c r="C19" s="23" t="s">
        <v>251</v>
      </c>
      <c r="D19" s="19" t="s">
        <v>8</v>
      </c>
      <c r="E19" s="19" t="s">
        <v>15</v>
      </c>
      <c r="F19" s="18" t="str">
        <f>VLOOKUP($E19,'Приложение 4'!$B$2:$C$10,2,FALSE)</f>
        <v>т</v>
      </c>
      <c r="G19" s="18"/>
      <c r="H19" s="19"/>
      <c r="I19" s="31">
        <v>0</v>
      </c>
      <c r="J19" s="31">
        <f t="shared" si="0"/>
        <v>0</v>
      </c>
    </row>
    <row r="20" spans="1:10" ht="30" hidden="1" outlineLevel="1" x14ac:dyDescent="0.25">
      <c r="A20" s="9" t="s">
        <v>408</v>
      </c>
      <c r="B20" s="22" t="s">
        <v>72</v>
      </c>
      <c r="C20" s="22" t="s">
        <v>250</v>
      </c>
      <c r="D20" s="5" t="s">
        <v>8</v>
      </c>
      <c r="E20" s="5" t="s">
        <v>15</v>
      </c>
      <c r="F20" s="7" t="str">
        <f>VLOOKUP($E20,'Приложение 4'!$B$2:$C$10,2,FALSE)</f>
        <v>т</v>
      </c>
      <c r="G20" s="7">
        <v>0.2</v>
      </c>
      <c r="H20" s="5"/>
      <c r="I20" s="30">
        <v>0</v>
      </c>
      <c r="J20" s="30">
        <f t="shared" si="0"/>
        <v>0</v>
      </c>
    </row>
    <row r="21" spans="1:10" ht="30" hidden="1" outlineLevel="1" x14ac:dyDescent="0.25">
      <c r="A21" s="9" t="s">
        <v>409</v>
      </c>
      <c r="B21" s="22" t="s">
        <v>73</v>
      </c>
      <c r="C21" s="22" t="s">
        <v>640</v>
      </c>
      <c r="D21" s="5" t="s">
        <v>8</v>
      </c>
      <c r="E21" s="5" t="s">
        <v>15</v>
      </c>
      <c r="F21" s="7" t="str">
        <f>VLOOKUP($E21,'Приложение 4'!$B$2:$C$10,2,FALSE)</f>
        <v>т</v>
      </c>
      <c r="G21" s="7">
        <v>0</v>
      </c>
      <c r="H21" s="5"/>
      <c r="I21" s="30">
        <v>0</v>
      </c>
      <c r="J21" s="30">
        <f t="shared" si="0"/>
        <v>0</v>
      </c>
    </row>
    <row r="22" spans="1:10" ht="30" hidden="1" outlineLevel="1" x14ac:dyDescent="0.25">
      <c r="A22" s="9" t="s">
        <v>410</v>
      </c>
      <c r="B22" s="22" t="s">
        <v>74</v>
      </c>
      <c r="C22" s="22" t="s">
        <v>641</v>
      </c>
      <c r="D22" s="5" t="s">
        <v>8</v>
      </c>
      <c r="E22" s="5" t="s">
        <v>15</v>
      </c>
      <c r="F22" s="7" t="str">
        <f>VLOOKUP($E22,'Приложение 4'!$B$2:$C$10,2,FALSE)</f>
        <v>т</v>
      </c>
      <c r="G22" s="7">
        <v>1</v>
      </c>
      <c r="H22" s="5"/>
      <c r="I22" s="30">
        <v>0</v>
      </c>
      <c r="J22" s="30">
        <f t="shared" si="0"/>
        <v>0</v>
      </c>
    </row>
    <row r="23" spans="1:10" ht="30" hidden="1" outlineLevel="1" x14ac:dyDescent="0.25">
      <c r="A23" s="9" t="s">
        <v>411</v>
      </c>
      <c r="B23" s="22" t="s">
        <v>75</v>
      </c>
      <c r="C23" s="22" t="s">
        <v>252</v>
      </c>
      <c r="D23" s="5" t="s">
        <v>8</v>
      </c>
      <c r="E23" s="5" t="s">
        <v>15</v>
      </c>
      <c r="F23" s="7" t="str">
        <f>VLOOKUP($E23,'Приложение 4'!$B$2:$C$10,2,FALSE)</f>
        <v>т</v>
      </c>
      <c r="G23" s="7">
        <v>0.7</v>
      </c>
      <c r="H23" s="5"/>
      <c r="I23" s="30">
        <v>0</v>
      </c>
      <c r="J23" s="30">
        <f t="shared" si="0"/>
        <v>0</v>
      </c>
    </row>
    <row r="24" spans="1:10" ht="30" hidden="1" outlineLevel="1" x14ac:dyDescent="0.25">
      <c r="A24" s="9" t="s">
        <v>412</v>
      </c>
      <c r="B24" s="22" t="s">
        <v>76</v>
      </c>
      <c r="C24" s="22" t="s">
        <v>253</v>
      </c>
      <c r="D24" s="5" t="s">
        <v>8</v>
      </c>
      <c r="E24" s="5" t="s">
        <v>15</v>
      </c>
      <c r="F24" s="7" t="str">
        <f>VLOOKUP($E24,'Приложение 4'!$B$2:$C$10,2,FALSE)</f>
        <v>т</v>
      </c>
      <c r="G24" s="7">
        <v>0</v>
      </c>
      <c r="H24" s="5"/>
      <c r="I24" s="30">
        <v>0</v>
      </c>
      <c r="J24" s="30">
        <f t="shared" si="0"/>
        <v>0</v>
      </c>
    </row>
    <row r="25" spans="1:10" ht="45" hidden="1" outlineLevel="1" x14ac:dyDescent="0.25">
      <c r="A25" s="17" t="s">
        <v>413</v>
      </c>
      <c r="B25" s="23" t="s">
        <v>77</v>
      </c>
      <c r="C25" s="23" t="s">
        <v>392</v>
      </c>
      <c r="D25" s="19" t="s">
        <v>8</v>
      </c>
      <c r="E25" s="19" t="s">
        <v>15</v>
      </c>
      <c r="F25" s="18" t="str">
        <f>VLOOKUP($E25,'Приложение 4'!$B$2:$C$10,2,FALSE)</f>
        <v>т</v>
      </c>
      <c r="G25" s="18"/>
      <c r="H25" s="19"/>
      <c r="I25" s="31">
        <v>0</v>
      </c>
      <c r="J25" s="31">
        <f t="shared" si="0"/>
        <v>0</v>
      </c>
    </row>
    <row r="26" spans="1:10" ht="30" hidden="1" outlineLevel="1" x14ac:dyDescent="0.25">
      <c r="A26" s="9" t="s">
        <v>414</v>
      </c>
      <c r="B26" s="22" t="s">
        <v>78</v>
      </c>
      <c r="C26" s="22" t="s">
        <v>254</v>
      </c>
      <c r="D26" s="5" t="s">
        <v>8</v>
      </c>
      <c r="E26" s="5" t="s">
        <v>15</v>
      </c>
      <c r="F26" s="7" t="str">
        <f>VLOOKUP($E26,'Приложение 4'!$B$2:$C$10,2,FALSE)</f>
        <v>т</v>
      </c>
      <c r="G26" s="7">
        <v>0.2</v>
      </c>
      <c r="H26" s="5"/>
      <c r="I26" s="30">
        <v>0</v>
      </c>
      <c r="J26" s="30">
        <f t="shared" si="0"/>
        <v>0</v>
      </c>
    </row>
    <row r="27" spans="1:10" ht="30" hidden="1" outlineLevel="1" x14ac:dyDescent="0.25">
      <c r="A27" s="9" t="s">
        <v>415</v>
      </c>
      <c r="B27" s="22" t="s">
        <v>79</v>
      </c>
      <c r="C27" s="22" t="s">
        <v>255</v>
      </c>
      <c r="D27" s="5" t="s">
        <v>8</v>
      </c>
      <c r="E27" s="5" t="s">
        <v>15</v>
      </c>
      <c r="F27" s="7" t="str">
        <f>VLOOKUP($E27,'Приложение 4'!$B$2:$C$10,2,FALSE)</f>
        <v>т</v>
      </c>
      <c r="G27" s="7">
        <v>0</v>
      </c>
      <c r="H27" s="5"/>
      <c r="I27" s="30">
        <v>0</v>
      </c>
      <c r="J27" s="30">
        <f t="shared" si="0"/>
        <v>0</v>
      </c>
    </row>
    <row r="28" spans="1:10" ht="30" hidden="1" outlineLevel="1" x14ac:dyDescent="0.25">
      <c r="A28" s="9" t="s">
        <v>416</v>
      </c>
      <c r="B28" s="22" t="s">
        <v>80</v>
      </c>
      <c r="C28" s="22" t="s">
        <v>256</v>
      </c>
      <c r="D28" s="5" t="s">
        <v>8</v>
      </c>
      <c r="E28" s="5" t="s">
        <v>15</v>
      </c>
      <c r="F28" s="7" t="str">
        <f>VLOOKUP($E28,'Приложение 4'!$B$2:$C$10,2,FALSE)</f>
        <v>т</v>
      </c>
      <c r="G28" s="7">
        <v>1</v>
      </c>
      <c r="H28" s="5"/>
      <c r="I28" s="30">
        <v>0</v>
      </c>
      <c r="J28" s="30">
        <f t="shared" si="0"/>
        <v>0</v>
      </c>
    </row>
    <row r="29" spans="1:10" ht="30" hidden="1" outlineLevel="1" x14ac:dyDescent="0.25">
      <c r="A29" s="9" t="s">
        <v>417</v>
      </c>
      <c r="B29" s="22" t="s">
        <v>81</v>
      </c>
      <c r="C29" s="22" t="s">
        <v>257</v>
      </c>
      <c r="D29" s="5" t="s">
        <v>8</v>
      </c>
      <c r="E29" s="5" t="s">
        <v>15</v>
      </c>
      <c r="F29" s="7" t="str">
        <f>VLOOKUP($E29,'Приложение 4'!$B$2:$C$10,2,FALSE)</f>
        <v>т</v>
      </c>
      <c r="G29" s="7">
        <v>0.8</v>
      </c>
      <c r="H29" s="5"/>
      <c r="I29" s="30">
        <v>0</v>
      </c>
      <c r="J29" s="30">
        <f t="shared" si="0"/>
        <v>0</v>
      </c>
    </row>
    <row r="30" spans="1:10" ht="30" hidden="1" outlineLevel="1" x14ac:dyDescent="0.25">
      <c r="A30" s="9" t="s">
        <v>418</v>
      </c>
      <c r="B30" s="22" t="s">
        <v>82</v>
      </c>
      <c r="C30" s="22" t="s">
        <v>258</v>
      </c>
      <c r="D30" s="5" t="s">
        <v>8</v>
      </c>
      <c r="E30" s="5" t="s">
        <v>15</v>
      </c>
      <c r="F30" s="7" t="str">
        <f>VLOOKUP($E30,'Приложение 4'!$B$2:$C$10,2,FALSE)</f>
        <v>т</v>
      </c>
      <c r="G30" s="7">
        <v>0</v>
      </c>
      <c r="H30" s="5"/>
      <c r="I30" s="30">
        <v>0</v>
      </c>
      <c r="J30" s="30">
        <f t="shared" si="0"/>
        <v>0</v>
      </c>
    </row>
    <row r="31" spans="1:10" ht="30" hidden="1" outlineLevel="1" x14ac:dyDescent="0.25">
      <c r="A31" s="9" t="s">
        <v>419</v>
      </c>
      <c r="B31" s="22" t="s">
        <v>83</v>
      </c>
      <c r="C31" s="22" t="s">
        <v>84</v>
      </c>
      <c r="D31" s="5" t="s">
        <v>8</v>
      </c>
      <c r="E31" s="5" t="s">
        <v>15</v>
      </c>
      <c r="F31" s="7" t="str">
        <f>VLOOKUP($E31,'Приложение 4'!$B$2:$C$10,2,FALSE)</f>
        <v>т</v>
      </c>
      <c r="G31" s="7">
        <v>3</v>
      </c>
      <c r="H31" s="5"/>
      <c r="I31" s="30">
        <v>0</v>
      </c>
      <c r="J31" s="30">
        <f t="shared" si="0"/>
        <v>0</v>
      </c>
    </row>
    <row r="32" spans="1:10" ht="30" hidden="1" outlineLevel="1" x14ac:dyDescent="0.25">
      <c r="A32" s="9" t="s">
        <v>420</v>
      </c>
      <c r="B32" s="22" t="s">
        <v>85</v>
      </c>
      <c r="C32" s="22" t="s">
        <v>642</v>
      </c>
      <c r="D32" s="5" t="s">
        <v>8</v>
      </c>
      <c r="E32" s="5" t="s">
        <v>15</v>
      </c>
      <c r="F32" s="7" t="str">
        <f>VLOOKUP($E32,'Приложение 4'!$B$2:$C$10,2,FALSE)</f>
        <v>т</v>
      </c>
      <c r="G32" s="7">
        <v>0</v>
      </c>
      <c r="H32" s="5"/>
      <c r="I32" s="30">
        <v>0</v>
      </c>
      <c r="J32" s="30">
        <f t="shared" si="0"/>
        <v>0</v>
      </c>
    </row>
    <row r="33" spans="1:10" ht="30" hidden="1" outlineLevel="1" x14ac:dyDescent="0.25">
      <c r="A33" s="9" t="s">
        <v>421</v>
      </c>
      <c r="B33" s="22" t="s">
        <v>86</v>
      </c>
      <c r="C33" s="22" t="s">
        <v>259</v>
      </c>
      <c r="D33" s="5" t="s">
        <v>8</v>
      </c>
      <c r="E33" s="5" t="s">
        <v>15</v>
      </c>
      <c r="F33" s="7" t="str">
        <f>VLOOKUP($E33,'Приложение 4'!$B$2:$C$10,2,FALSE)</f>
        <v>т</v>
      </c>
      <c r="G33" s="7">
        <v>0.8</v>
      </c>
      <c r="H33" s="5"/>
      <c r="I33" s="30">
        <v>0</v>
      </c>
      <c r="J33" s="30">
        <f t="shared" si="0"/>
        <v>0</v>
      </c>
    </row>
    <row r="34" spans="1:10" ht="30" hidden="1" outlineLevel="1" x14ac:dyDescent="0.25">
      <c r="A34" s="9" t="s">
        <v>422</v>
      </c>
      <c r="B34" s="22" t="s">
        <v>87</v>
      </c>
      <c r="C34" s="22" t="s">
        <v>643</v>
      </c>
      <c r="D34" s="5" t="s">
        <v>8</v>
      </c>
      <c r="E34" s="5" t="s">
        <v>15</v>
      </c>
      <c r="F34" s="7" t="str">
        <f>VLOOKUP($E34,'Приложение 4'!$B$2:$C$10,2,FALSE)</f>
        <v>т</v>
      </c>
      <c r="G34" s="7">
        <v>0</v>
      </c>
      <c r="H34" s="5"/>
      <c r="I34" s="30">
        <v>0</v>
      </c>
      <c r="J34" s="30">
        <f t="shared" si="0"/>
        <v>0</v>
      </c>
    </row>
    <row r="35" spans="1:10" ht="30" hidden="1" outlineLevel="1" x14ac:dyDescent="0.25">
      <c r="A35" s="9" t="s">
        <v>423</v>
      </c>
      <c r="B35" s="22" t="s">
        <v>88</v>
      </c>
      <c r="C35" s="22" t="s">
        <v>260</v>
      </c>
      <c r="D35" s="5" t="s">
        <v>8</v>
      </c>
      <c r="E35" s="5" t="s">
        <v>15</v>
      </c>
      <c r="F35" s="7" t="str">
        <f>VLOOKUP($E35,'Приложение 4'!$B$2:$C$10,2,FALSE)</f>
        <v>т</v>
      </c>
      <c r="G35" s="8">
        <v>0.6</v>
      </c>
      <c r="H35" s="5"/>
      <c r="I35" s="30">
        <v>0</v>
      </c>
      <c r="J35" s="30">
        <f t="shared" si="0"/>
        <v>0</v>
      </c>
    </row>
    <row r="36" spans="1:10" ht="30" hidden="1" outlineLevel="1" x14ac:dyDescent="0.25">
      <c r="A36" s="9" t="s">
        <v>424</v>
      </c>
      <c r="B36" s="22" t="s">
        <v>89</v>
      </c>
      <c r="C36" s="22" t="s">
        <v>261</v>
      </c>
      <c r="D36" s="5" t="s">
        <v>8</v>
      </c>
      <c r="E36" s="5" t="s">
        <v>15</v>
      </c>
      <c r="F36" s="7" t="str">
        <f>VLOOKUP($E36,'Приложение 4'!$B$2:$C$10,2,FALSE)</f>
        <v>т</v>
      </c>
      <c r="G36" s="7">
        <v>0</v>
      </c>
      <c r="H36" s="5"/>
      <c r="I36" s="30">
        <v>0</v>
      </c>
      <c r="J36" s="30">
        <f t="shared" si="0"/>
        <v>0</v>
      </c>
    </row>
    <row r="37" spans="1:10" ht="30" hidden="1" outlineLevel="1" x14ac:dyDescent="0.25">
      <c r="A37" s="9" t="s">
        <v>425</v>
      </c>
      <c r="B37" s="22" t="s">
        <v>90</v>
      </c>
      <c r="C37" s="22" t="s">
        <v>644</v>
      </c>
      <c r="D37" s="5" t="s">
        <v>8</v>
      </c>
      <c r="E37" s="5" t="s">
        <v>15</v>
      </c>
      <c r="F37" s="7" t="str">
        <f>VLOOKUP($E37,'Приложение 4'!$B$2:$C$10,2,FALSE)</f>
        <v>т</v>
      </c>
      <c r="G37" s="7">
        <v>5</v>
      </c>
      <c r="H37" s="5"/>
      <c r="I37" s="30">
        <v>0</v>
      </c>
      <c r="J37" s="30">
        <f t="shared" si="0"/>
        <v>0</v>
      </c>
    </row>
    <row r="38" spans="1:10" ht="30" hidden="1" outlineLevel="1" x14ac:dyDescent="0.25">
      <c r="A38" s="9" t="s">
        <v>426</v>
      </c>
      <c r="B38" s="22" t="s">
        <v>91</v>
      </c>
      <c r="C38" s="22" t="s">
        <v>645</v>
      </c>
      <c r="D38" s="5" t="s">
        <v>8</v>
      </c>
      <c r="E38" s="5" t="s">
        <v>15</v>
      </c>
      <c r="F38" s="7" t="str">
        <f>VLOOKUP($E38,'Приложение 4'!$B$2:$C$10,2,FALSE)</f>
        <v>т</v>
      </c>
      <c r="G38" s="7">
        <v>0</v>
      </c>
      <c r="H38" s="5"/>
      <c r="I38" s="30">
        <v>0</v>
      </c>
      <c r="J38" s="30">
        <f t="shared" si="0"/>
        <v>0</v>
      </c>
    </row>
    <row r="39" spans="1:10" ht="30" hidden="1" outlineLevel="1" x14ac:dyDescent="0.25">
      <c r="A39" s="9" t="s">
        <v>427</v>
      </c>
      <c r="B39" s="22" t="s">
        <v>92</v>
      </c>
      <c r="C39" s="22" t="s">
        <v>646</v>
      </c>
      <c r="D39" s="5" t="s">
        <v>8</v>
      </c>
      <c r="E39" s="5" t="s">
        <v>15</v>
      </c>
      <c r="F39" s="7" t="str">
        <f>VLOOKUP($E39,'Приложение 4'!$B$2:$C$10,2,FALSE)</f>
        <v>т</v>
      </c>
      <c r="G39" s="7">
        <v>5.5</v>
      </c>
      <c r="H39" s="5"/>
      <c r="I39" s="30">
        <v>0</v>
      </c>
      <c r="J39" s="30">
        <f t="shared" si="0"/>
        <v>0</v>
      </c>
    </row>
    <row r="40" spans="1:10" ht="30" hidden="1" outlineLevel="1" x14ac:dyDescent="0.25">
      <c r="A40" s="9" t="s">
        <v>428</v>
      </c>
      <c r="B40" s="22" t="s">
        <v>93</v>
      </c>
      <c r="C40" s="22" t="s">
        <v>647</v>
      </c>
      <c r="D40" s="5" t="s">
        <v>8</v>
      </c>
      <c r="E40" s="5" t="s">
        <v>15</v>
      </c>
      <c r="F40" s="7" t="str">
        <f>VLOOKUP($E40,'Приложение 4'!$B$2:$C$10,2,FALSE)</f>
        <v>т</v>
      </c>
      <c r="G40" s="7">
        <v>0</v>
      </c>
      <c r="H40" s="5"/>
      <c r="I40" s="30">
        <v>0</v>
      </c>
      <c r="J40" s="30">
        <f t="shared" si="0"/>
        <v>0</v>
      </c>
    </row>
    <row r="41" spans="1:10" ht="45" hidden="1" outlineLevel="1" x14ac:dyDescent="0.25">
      <c r="A41" s="9" t="s">
        <v>429</v>
      </c>
      <c r="B41" s="22" t="s">
        <v>94</v>
      </c>
      <c r="C41" s="22" t="s">
        <v>262</v>
      </c>
      <c r="D41" s="5" t="s">
        <v>8</v>
      </c>
      <c r="E41" s="5" t="s">
        <v>15</v>
      </c>
      <c r="F41" s="7" t="str">
        <f>VLOOKUP($E41,'Приложение 4'!$B$2:$C$10,2,FALSE)</f>
        <v>т</v>
      </c>
      <c r="G41" s="7">
        <v>0.6</v>
      </c>
      <c r="H41" s="5"/>
      <c r="I41" s="30">
        <v>0</v>
      </c>
      <c r="J41" s="30">
        <f t="shared" si="0"/>
        <v>0</v>
      </c>
    </row>
    <row r="42" spans="1:10" ht="30" hidden="1" outlineLevel="1" x14ac:dyDescent="0.25">
      <c r="A42" s="9" t="s">
        <v>430</v>
      </c>
      <c r="B42" s="22" t="s">
        <v>95</v>
      </c>
      <c r="C42" s="22" t="s">
        <v>263</v>
      </c>
      <c r="D42" s="5" t="s">
        <v>8</v>
      </c>
      <c r="E42" s="5" t="s">
        <v>15</v>
      </c>
      <c r="F42" s="7" t="str">
        <f>VLOOKUP($E42,'Приложение 4'!$B$2:$C$10,2,FALSE)</f>
        <v>т</v>
      </c>
      <c r="G42" s="7">
        <v>0</v>
      </c>
      <c r="H42" s="5"/>
      <c r="I42" s="30">
        <v>0</v>
      </c>
      <c r="J42" s="30">
        <f t="shared" si="0"/>
        <v>0</v>
      </c>
    </row>
    <row r="43" spans="1:10" ht="30" hidden="1" outlineLevel="1" x14ac:dyDescent="0.25">
      <c r="A43" s="9" t="s">
        <v>431</v>
      </c>
      <c r="B43" s="22" t="s">
        <v>96</v>
      </c>
      <c r="C43" s="22" t="s">
        <v>264</v>
      </c>
      <c r="D43" s="5" t="s">
        <v>8</v>
      </c>
      <c r="E43" s="5" t="s">
        <v>15</v>
      </c>
      <c r="F43" s="7" t="str">
        <f>VLOOKUP($E43,'Приложение 4'!$B$2:$C$10,2,FALSE)</f>
        <v>т</v>
      </c>
      <c r="G43" s="7">
        <v>0.3</v>
      </c>
      <c r="H43" s="5"/>
      <c r="I43" s="30">
        <v>0</v>
      </c>
      <c r="J43" s="30">
        <f t="shared" si="0"/>
        <v>0</v>
      </c>
    </row>
    <row r="44" spans="1:10" ht="30" hidden="1" outlineLevel="1" x14ac:dyDescent="0.25">
      <c r="A44" s="9" t="s">
        <v>432</v>
      </c>
      <c r="B44" s="22" t="s">
        <v>97</v>
      </c>
      <c r="C44" s="22" t="s">
        <v>265</v>
      </c>
      <c r="D44" s="5" t="s">
        <v>8</v>
      </c>
      <c r="E44" s="5" t="s">
        <v>15</v>
      </c>
      <c r="F44" s="7" t="str">
        <f>VLOOKUP($E44,'Приложение 4'!$B$2:$C$10,2,FALSE)</f>
        <v>т</v>
      </c>
      <c r="G44" s="7">
        <v>9</v>
      </c>
      <c r="H44" s="5"/>
      <c r="I44" s="30">
        <v>0</v>
      </c>
      <c r="J44" s="30">
        <f t="shared" si="0"/>
        <v>0</v>
      </c>
    </row>
    <row r="45" spans="1:10" ht="30" hidden="1" outlineLevel="1" x14ac:dyDescent="0.25">
      <c r="A45" s="9" t="s">
        <v>433</v>
      </c>
      <c r="B45" s="22" t="s">
        <v>98</v>
      </c>
      <c r="C45" s="22" t="s">
        <v>266</v>
      </c>
      <c r="D45" s="5" t="s">
        <v>8</v>
      </c>
      <c r="E45" s="5" t="s">
        <v>15</v>
      </c>
      <c r="F45" s="7" t="str">
        <f>VLOOKUP($E45,'Приложение 4'!$B$2:$C$10,2,FALSE)</f>
        <v>т</v>
      </c>
      <c r="G45" s="7">
        <v>0</v>
      </c>
      <c r="H45" s="5"/>
      <c r="I45" s="30">
        <v>0</v>
      </c>
      <c r="J45" s="30">
        <f t="shared" si="0"/>
        <v>0</v>
      </c>
    </row>
    <row r="46" spans="1:10" ht="30" hidden="1" outlineLevel="1" x14ac:dyDescent="0.25">
      <c r="A46" s="9" t="s">
        <v>434</v>
      </c>
      <c r="B46" s="22" t="s">
        <v>99</v>
      </c>
      <c r="C46" s="22" t="s">
        <v>267</v>
      </c>
      <c r="D46" s="5" t="s">
        <v>8</v>
      </c>
      <c r="E46" s="5" t="s">
        <v>15</v>
      </c>
      <c r="F46" s="7" t="str">
        <f>VLOOKUP($E46,'Приложение 4'!$B$2:$C$10,2,FALSE)</f>
        <v>т</v>
      </c>
      <c r="G46" s="7">
        <v>8.5</v>
      </c>
      <c r="H46" s="5"/>
      <c r="I46" s="30">
        <v>0</v>
      </c>
      <c r="J46" s="30">
        <f t="shared" si="0"/>
        <v>0</v>
      </c>
    </row>
    <row r="47" spans="1:10" ht="30" hidden="1" outlineLevel="1" x14ac:dyDescent="0.25">
      <c r="A47" s="9" t="s">
        <v>435</v>
      </c>
      <c r="B47" s="22" t="s">
        <v>100</v>
      </c>
      <c r="C47" s="22" t="s">
        <v>268</v>
      </c>
      <c r="D47" s="5" t="s">
        <v>8</v>
      </c>
      <c r="E47" s="5" t="s">
        <v>15</v>
      </c>
      <c r="F47" s="7" t="str">
        <f>VLOOKUP($E47,'Приложение 4'!$B$2:$C$10,2,FALSE)</f>
        <v>т</v>
      </c>
      <c r="G47" s="7">
        <v>0</v>
      </c>
      <c r="H47" s="5"/>
      <c r="I47" s="30">
        <v>0</v>
      </c>
      <c r="J47" s="30">
        <f t="shared" si="0"/>
        <v>0</v>
      </c>
    </row>
    <row r="48" spans="1:10" ht="30" hidden="1" outlineLevel="1" x14ac:dyDescent="0.25">
      <c r="A48" s="9" t="s">
        <v>436</v>
      </c>
      <c r="B48" s="22" t="s">
        <v>101</v>
      </c>
      <c r="C48" s="22" t="s">
        <v>269</v>
      </c>
      <c r="D48" s="5" t="s">
        <v>8</v>
      </c>
      <c r="E48" s="5" t="s">
        <v>15</v>
      </c>
      <c r="F48" s="7" t="str">
        <f>VLOOKUP($E48,'Приложение 4'!$B$2:$C$10,2,FALSE)</f>
        <v>т</v>
      </c>
      <c r="G48" s="7">
        <v>5</v>
      </c>
      <c r="H48" s="5"/>
      <c r="I48" s="30">
        <v>0</v>
      </c>
      <c r="J48" s="30">
        <f t="shared" si="0"/>
        <v>0</v>
      </c>
    </row>
    <row r="49" spans="1:10" ht="30" hidden="1" outlineLevel="1" x14ac:dyDescent="0.25">
      <c r="A49" s="9" t="s">
        <v>437</v>
      </c>
      <c r="B49" s="22" t="s">
        <v>102</v>
      </c>
      <c r="C49" s="22" t="s">
        <v>648</v>
      </c>
      <c r="D49" s="5" t="s">
        <v>8</v>
      </c>
      <c r="E49" s="5" t="s">
        <v>15</v>
      </c>
      <c r="F49" s="7" t="str">
        <f>VLOOKUP($E49,'Приложение 4'!$B$2:$C$10,2,FALSE)</f>
        <v>т</v>
      </c>
      <c r="G49" s="7">
        <v>0</v>
      </c>
      <c r="H49" s="5"/>
      <c r="I49" s="30">
        <v>0</v>
      </c>
      <c r="J49" s="30">
        <f t="shared" si="0"/>
        <v>0</v>
      </c>
    </row>
    <row r="50" spans="1:10" ht="30" hidden="1" outlineLevel="1" x14ac:dyDescent="0.25">
      <c r="A50" s="9" t="s">
        <v>438</v>
      </c>
      <c r="B50" s="22" t="s">
        <v>103</v>
      </c>
      <c r="C50" s="22" t="s">
        <v>649</v>
      </c>
      <c r="D50" s="5" t="s">
        <v>8</v>
      </c>
      <c r="E50" s="5" t="s">
        <v>15</v>
      </c>
      <c r="F50" s="7" t="str">
        <f>VLOOKUP($E50,'Приложение 4'!$B$2:$C$10,2,FALSE)</f>
        <v>т</v>
      </c>
      <c r="G50" s="7">
        <v>2</v>
      </c>
      <c r="H50" s="5"/>
      <c r="I50" s="30">
        <v>0</v>
      </c>
      <c r="J50" s="30">
        <f t="shared" si="0"/>
        <v>0</v>
      </c>
    </row>
    <row r="51" spans="1:10" ht="60" hidden="1" outlineLevel="1" x14ac:dyDescent="0.25">
      <c r="A51" s="9" t="s">
        <v>439</v>
      </c>
      <c r="B51" s="22" t="s">
        <v>104</v>
      </c>
      <c r="C51" s="22" t="s">
        <v>240</v>
      </c>
      <c r="D51" s="5" t="s">
        <v>8</v>
      </c>
      <c r="E51" s="5" t="s">
        <v>15</v>
      </c>
      <c r="F51" s="7" t="str">
        <f>VLOOKUP($E51,'Приложение 4'!$B$2:$C$10,2,FALSE)</f>
        <v>т</v>
      </c>
      <c r="G51" s="7">
        <v>0.06</v>
      </c>
      <c r="H51" s="5"/>
      <c r="I51" s="30">
        <v>0</v>
      </c>
      <c r="J51" s="30">
        <f t="shared" si="0"/>
        <v>0</v>
      </c>
    </row>
    <row r="52" spans="1:10" ht="30" hidden="1" outlineLevel="1" x14ac:dyDescent="0.25">
      <c r="A52" s="9" t="s">
        <v>440</v>
      </c>
      <c r="B52" s="22" t="s">
        <v>105</v>
      </c>
      <c r="C52" s="22" t="s">
        <v>241</v>
      </c>
      <c r="D52" s="5" t="s">
        <v>8</v>
      </c>
      <c r="E52" s="5" t="s">
        <v>15</v>
      </c>
      <c r="F52" s="7" t="str">
        <f>VLOOKUP($E52,'Приложение 4'!$B$2:$C$10,2,FALSE)</f>
        <v>т</v>
      </c>
      <c r="G52" s="7">
        <v>0.1</v>
      </c>
      <c r="H52" s="5"/>
      <c r="I52" s="30">
        <v>0</v>
      </c>
      <c r="J52" s="30">
        <f t="shared" si="0"/>
        <v>0</v>
      </c>
    </row>
    <row r="53" spans="1:10" ht="30" hidden="1" outlineLevel="1" x14ac:dyDescent="0.25">
      <c r="A53" s="9" t="s">
        <v>441</v>
      </c>
      <c r="B53" s="22" t="s">
        <v>106</v>
      </c>
      <c r="C53" s="22" t="s">
        <v>270</v>
      </c>
      <c r="D53" s="5" t="s">
        <v>8</v>
      </c>
      <c r="E53" s="5" t="s">
        <v>15</v>
      </c>
      <c r="F53" s="7" t="str">
        <f>VLOOKUP($E53,'Приложение 4'!$B$2:$C$10,2,FALSE)</f>
        <v>т</v>
      </c>
      <c r="G53" s="7">
        <v>3.8</v>
      </c>
      <c r="H53" s="5"/>
      <c r="I53" s="30">
        <v>0</v>
      </c>
      <c r="J53" s="30">
        <f t="shared" si="0"/>
        <v>0</v>
      </c>
    </row>
    <row r="54" spans="1:10" ht="30" hidden="1" outlineLevel="1" x14ac:dyDescent="0.25">
      <c r="A54" s="9" t="s">
        <v>442</v>
      </c>
      <c r="B54" s="22" t="s">
        <v>107</v>
      </c>
      <c r="C54" s="22" t="s">
        <v>271</v>
      </c>
      <c r="D54" s="5" t="s">
        <v>8</v>
      </c>
      <c r="E54" s="5" t="s">
        <v>15</v>
      </c>
      <c r="F54" s="7" t="str">
        <f>VLOOKUP($E54,'Приложение 4'!$B$2:$C$10,2,FALSE)</f>
        <v>т</v>
      </c>
      <c r="G54" s="7">
        <v>0.3</v>
      </c>
      <c r="H54" s="5"/>
      <c r="I54" s="30">
        <v>0</v>
      </c>
      <c r="J54" s="30">
        <f t="shared" si="0"/>
        <v>0</v>
      </c>
    </row>
    <row r="55" spans="1:10" ht="30" hidden="1" outlineLevel="1" x14ac:dyDescent="0.25">
      <c r="A55" s="9" t="s">
        <v>443</v>
      </c>
      <c r="B55" s="22" t="s">
        <v>108</v>
      </c>
      <c r="C55" s="22" t="s">
        <v>272</v>
      </c>
      <c r="D55" s="5" t="s">
        <v>8</v>
      </c>
      <c r="E55" s="5" t="s">
        <v>15</v>
      </c>
      <c r="F55" s="7" t="str">
        <f>VLOOKUP($E55,'Приложение 4'!$B$2:$C$10,2,FALSE)</f>
        <v>т</v>
      </c>
      <c r="G55" s="7"/>
      <c r="H55" s="5"/>
      <c r="I55" s="30">
        <v>0</v>
      </c>
      <c r="J55" s="30">
        <f t="shared" si="0"/>
        <v>0</v>
      </c>
    </row>
    <row r="56" spans="1:10" ht="30" hidden="1" outlineLevel="1" x14ac:dyDescent="0.25">
      <c r="A56" s="9" t="s">
        <v>444</v>
      </c>
      <c r="B56" s="22" t="s">
        <v>109</v>
      </c>
      <c r="C56" s="22" t="s">
        <v>273</v>
      </c>
      <c r="D56" s="5" t="s">
        <v>8</v>
      </c>
      <c r="E56" s="5" t="s">
        <v>15</v>
      </c>
      <c r="F56" s="7" t="str">
        <f>VLOOKUP($E56,'Приложение 4'!$B$2:$C$10,2,FALSE)</f>
        <v>т</v>
      </c>
      <c r="G56" s="7">
        <v>0.2</v>
      </c>
      <c r="H56" s="5"/>
      <c r="I56" s="30">
        <v>0</v>
      </c>
      <c r="J56" s="30">
        <f t="shared" si="0"/>
        <v>0</v>
      </c>
    </row>
    <row r="57" spans="1:10" ht="30" hidden="1" outlineLevel="1" x14ac:dyDescent="0.25">
      <c r="A57" s="9" t="s">
        <v>445</v>
      </c>
      <c r="B57" s="22" t="s">
        <v>110</v>
      </c>
      <c r="C57" s="22" t="s">
        <v>242</v>
      </c>
      <c r="D57" s="5" t="s">
        <v>8</v>
      </c>
      <c r="E57" s="5" t="s">
        <v>15</v>
      </c>
      <c r="F57" s="7" t="str">
        <f>VLOOKUP($E57,'Приложение 4'!$B$2:$C$10,2,FALSE)</f>
        <v>т</v>
      </c>
      <c r="G57" s="7">
        <v>0</v>
      </c>
      <c r="H57" s="5"/>
      <c r="I57" s="30">
        <v>0</v>
      </c>
      <c r="J57" s="30">
        <f t="shared" si="0"/>
        <v>0</v>
      </c>
    </row>
    <row r="58" spans="1:10" ht="30" hidden="1" outlineLevel="1" x14ac:dyDescent="0.25">
      <c r="A58" s="9" t="s">
        <v>446</v>
      </c>
      <c r="B58" s="22" t="s">
        <v>111</v>
      </c>
      <c r="C58" s="22" t="s">
        <v>274</v>
      </c>
      <c r="D58" s="5" t="s">
        <v>8</v>
      </c>
      <c r="E58" s="5" t="s">
        <v>15</v>
      </c>
      <c r="F58" s="7" t="str">
        <f>VLOOKUP($E58,'Приложение 4'!$B$2:$C$10,2,FALSE)</f>
        <v>т</v>
      </c>
      <c r="G58" s="7">
        <v>0.8</v>
      </c>
      <c r="H58" s="5"/>
      <c r="I58" s="30">
        <v>0</v>
      </c>
      <c r="J58" s="30">
        <f t="shared" si="0"/>
        <v>0</v>
      </c>
    </row>
    <row r="59" spans="1:10" ht="30" hidden="1" outlineLevel="1" x14ac:dyDescent="0.25">
      <c r="A59" s="9" t="s">
        <v>447</v>
      </c>
      <c r="B59" s="22" t="s">
        <v>112</v>
      </c>
      <c r="C59" s="22" t="s">
        <v>275</v>
      </c>
      <c r="D59" s="5" t="s">
        <v>8</v>
      </c>
      <c r="E59" s="5" t="s">
        <v>15</v>
      </c>
      <c r="F59" s="7" t="str">
        <f>VLOOKUP($E59,'Приложение 4'!$B$2:$C$10,2,FALSE)</f>
        <v>т</v>
      </c>
      <c r="G59" s="7">
        <v>0.8</v>
      </c>
      <c r="H59" s="5"/>
      <c r="I59" s="30">
        <v>0</v>
      </c>
      <c r="J59" s="30">
        <f t="shared" si="0"/>
        <v>0</v>
      </c>
    </row>
    <row r="60" spans="1:10" ht="30" hidden="1" outlineLevel="1" x14ac:dyDescent="0.25">
      <c r="A60" s="9" t="s">
        <v>448</v>
      </c>
      <c r="B60" s="22" t="s">
        <v>113</v>
      </c>
      <c r="C60" s="22" t="s">
        <v>276</v>
      </c>
      <c r="D60" s="5" t="s">
        <v>8</v>
      </c>
      <c r="E60" s="5" t="s">
        <v>15</v>
      </c>
      <c r="F60" s="7" t="str">
        <f>VLOOKUP($E60,'Приложение 4'!$B$2:$C$10,2,FALSE)</f>
        <v>т</v>
      </c>
      <c r="G60" s="7">
        <v>3</v>
      </c>
      <c r="H60" s="5"/>
      <c r="I60" s="30">
        <v>0</v>
      </c>
      <c r="J60" s="30">
        <f t="shared" si="0"/>
        <v>0</v>
      </c>
    </row>
    <row r="61" spans="1:10" ht="30" hidden="1" outlineLevel="1" x14ac:dyDescent="0.25">
      <c r="A61" s="9" t="s">
        <v>449</v>
      </c>
      <c r="B61" s="22" t="s">
        <v>114</v>
      </c>
      <c r="C61" s="22" t="s">
        <v>277</v>
      </c>
      <c r="D61" s="5" t="s">
        <v>8</v>
      </c>
      <c r="E61" s="5" t="s">
        <v>15</v>
      </c>
      <c r="F61" s="7" t="str">
        <f>VLOOKUP($E61,'Приложение 4'!$B$2:$C$10,2,FALSE)</f>
        <v>т</v>
      </c>
      <c r="G61" s="7">
        <v>2</v>
      </c>
      <c r="H61" s="5"/>
      <c r="I61" s="30">
        <v>0</v>
      </c>
      <c r="J61" s="30">
        <f t="shared" si="0"/>
        <v>0</v>
      </c>
    </row>
    <row r="62" spans="1:10" ht="30" hidden="1" outlineLevel="1" x14ac:dyDescent="0.25">
      <c r="A62" s="9" t="s">
        <v>450</v>
      </c>
      <c r="B62" s="22" t="s">
        <v>115</v>
      </c>
      <c r="C62" s="22" t="s">
        <v>278</v>
      </c>
      <c r="D62" s="5" t="s">
        <v>8</v>
      </c>
      <c r="E62" s="5" t="s">
        <v>15</v>
      </c>
      <c r="F62" s="7" t="str">
        <f>VLOOKUP($E62,'Приложение 4'!$B$2:$C$10,2,FALSE)</f>
        <v>т</v>
      </c>
      <c r="G62" s="7">
        <v>150</v>
      </c>
      <c r="H62" s="5"/>
      <c r="I62" s="30">
        <v>0</v>
      </c>
      <c r="J62" s="30">
        <f t="shared" si="0"/>
        <v>0</v>
      </c>
    </row>
    <row r="63" spans="1:10" ht="30" hidden="1" outlineLevel="1" x14ac:dyDescent="0.25">
      <c r="A63" s="9" t="s">
        <v>451</v>
      </c>
      <c r="B63" s="22" t="s">
        <v>116</v>
      </c>
      <c r="C63" s="22" t="s">
        <v>279</v>
      </c>
      <c r="D63" s="5" t="s">
        <v>8</v>
      </c>
      <c r="E63" s="5" t="s">
        <v>15</v>
      </c>
      <c r="F63" s="7" t="str">
        <f>VLOOKUP($E63,'Приложение 4'!$B$2:$C$10,2,FALSE)</f>
        <v>т</v>
      </c>
      <c r="G63" s="7">
        <v>0</v>
      </c>
      <c r="H63" s="5"/>
      <c r="I63" s="30">
        <v>0</v>
      </c>
      <c r="J63" s="30">
        <f t="shared" si="0"/>
        <v>0</v>
      </c>
    </row>
    <row r="64" spans="1:10" ht="30" hidden="1" outlineLevel="1" x14ac:dyDescent="0.25">
      <c r="A64" s="9" t="s">
        <v>452</v>
      </c>
      <c r="B64" s="22" t="s">
        <v>117</v>
      </c>
      <c r="C64" s="22" t="s">
        <v>243</v>
      </c>
      <c r="D64" s="5" t="s">
        <v>8</v>
      </c>
      <c r="E64" s="5" t="s">
        <v>15</v>
      </c>
      <c r="F64" s="7" t="str">
        <f>VLOOKUP($E64,'Приложение 4'!$B$2:$C$10,2,FALSE)</f>
        <v>т</v>
      </c>
      <c r="G64" s="7">
        <v>90</v>
      </c>
      <c r="H64" s="5"/>
      <c r="I64" s="30">
        <v>0</v>
      </c>
      <c r="J64" s="30">
        <f t="shared" si="0"/>
        <v>0</v>
      </c>
    </row>
    <row r="65" spans="1:10" ht="30" hidden="1" outlineLevel="1" x14ac:dyDescent="0.25">
      <c r="A65" s="9" t="s">
        <v>453</v>
      </c>
      <c r="B65" s="22" t="s">
        <v>118</v>
      </c>
      <c r="C65" s="22" t="s">
        <v>280</v>
      </c>
      <c r="D65" s="5" t="s">
        <v>8</v>
      </c>
      <c r="E65" s="5" t="s">
        <v>15</v>
      </c>
      <c r="F65" s="7" t="str">
        <f>VLOOKUP($E65,'Приложение 4'!$B$2:$C$10,2,FALSE)</f>
        <v>т</v>
      </c>
      <c r="G65" s="7">
        <v>0</v>
      </c>
      <c r="H65" s="5"/>
      <c r="I65" s="30">
        <v>0</v>
      </c>
      <c r="J65" s="30">
        <f t="shared" si="0"/>
        <v>0</v>
      </c>
    </row>
    <row r="66" spans="1:10" ht="45" hidden="1" outlineLevel="1" x14ac:dyDescent="0.25">
      <c r="A66" s="9" t="s">
        <v>454</v>
      </c>
      <c r="B66" s="22" t="s">
        <v>119</v>
      </c>
      <c r="C66" s="22" t="s">
        <v>281</v>
      </c>
      <c r="D66" s="5" t="s">
        <v>8</v>
      </c>
      <c r="E66" s="5" t="s">
        <v>15</v>
      </c>
      <c r="F66" s="7" t="str">
        <f>VLOOKUP($E66,'Приложение 4'!$B$2:$C$10,2,FALSE)</f>
        <v>т</v>
      </c>
      <c r="G66" s="7">
        <v>0</v>
      </c>
      <c r="H66" s="5"/>
      <c r="I66" s="30">
        <v>0</v>
      </c>
      <c r="J66" s="30">
        <f t="shared" si="0"/>
        <v>0</v>
      </c>
    </row>
    <row r="67" spans="1:10" ht="30" hidden="1" outlineLevel="1" x14ac:dyDescent="0.25">
      <c r="A67" s="9" t="s">
        <v>455</v>
      </c>
      <c r="B67" s="22" t="s">
        <v>120</v>
      </c>
      <c r="C67" s="22" t="s">
        <v>282</v>
      </c>
      <c r="D67" s="5" t="s">
        <v>8</v>
      </c>
      <c r="E67" s="5" t="s">
        <v>15</v>
      </c>
      <c r="F67" s="7" t="str">
        <f>VLOOKUP($E67,'Приложение 4'!$B$2:$C$10,2,FALSE)</f>
        <v>т</v>
      </c>
      <c r="G67" s="7">
        <v>0</v>
      </c>
      <c r="H67" s="5"/>
      <c r="I67" s="30">
        <v>0</v>
      </c>
      <c r="J67" s="30">
        <f t="shared" si="0"/>
        <v>0</v>
      </c>
    </row>
    <row r="68" spans="1:10" ht="30" hidden="1" outlineLevel="1" x14ac:dyDescent="0.25">
      <c r="A68" s="9" t="s">
        <v>456</v>
      </c>
      <c r="B68" s="22" t="s">
        <v>121</v>
      </c>
      <c r="C68" s="22" t="s">
        <v>283</v>
      </c>
      <c r="D68" s="5" t="s">
        <v>8</v>
      </c>
      <c r="E68" s="5" t="s">
        <v>15</v>
      </c>
      <c r="F68" s="7" t="str">
        <f>VLOOKUP($E68,'Приложение 4'!$B$2:$C$10,2,FALSE)</f>
        <v>т</v>
      </c>
      <c r="G68" s="7">
        <v>0.4</v>
      </c>
      <c r="H68" s="5"/>
      <c r="I68" s="30">
        <v>0</v>
      </c>
      <c r="J68" s="30">
        <f t="shared" si="0"/>
        <v>0</v>
      </c>
    </row>
    <row r="69" spans="1:10" ht="30" hidden="1" outlineLevel="1" x14ac:dyDescent="0.25">
      <c r="A69" s="9" t="s">
        <v>457</v>
      </c>
      <c r="B69" s="22" t="s">
        <v>122</v>
      </c>
      <c r="C69" s="22" t="s">
        <v>284</v>
      </c>
      <c r="D69" s="5" t="s">
        <v>8</v>
      </c>
      <c r="E69" s="5" t="s">
        <v>15</v>
      </c>
      <c r="F69" s="7" t="str">
        <f>VLOOKUP($E69,'Приложение 4'!$B$2:$C$10,2,FALSE)</f>
        <v>т</v>
      </c>
      <c r="G69" s="7">
        <v>17</v>
      </c>
      <c r="H69" s="5"/>
      <c r="I69" s="30">
        <v>0</v>
      </c>
      <c r="J69" s="30">
        <f t="shared" si="0"/>
        <v>0</v>
      </c>
    </row>
    <row r="70" spans="1:10" ht="30" hidden="1" outlineLevel="1" x14ac:dyDescent="0.25">
      <c r="A70" s="9" t="s">
        <v>458</v>
      </c>
      <c r="B70" s="22" t="s">
        <v>123</v>
      </c>
      <c r="C70" s="22" t="s">
        <v>285</v>
      </c>
      <c r="D70" s="5" t="s">
        <v>8</v>
      </c>
      <c r="E70" s="5" t="s">
        <v>15</v>
      </c>
      <c r="F70" s="7" t="str">
        <f>VLOOKUP($E70,'Приложение 4'!$B$2:$C$10,2,FALSE)</f>
        <v>т</v>
      </c>
      <c r="G70" s="7">
        <v>0</v>
      </c>
      <c r="H70" s="5"/>
      <c r="I70" s="30">
        <v>0</v>
      </c>
      <c r="J70" s="30">
        <f t="shared" ref="J70:J128" si="1">G70*I70</f>
        <v>0</v>
      </c>
    </row>
    <row r="71" spans="1:10" ht="30" hidden="1" outlineLevel="1" x14ac:dyDescent="0.25">
      <c r="A71" s="9" t="s">
        <v>459</v>
      </c>
      <c r="B71" s="22" t="s">
        <v>124</v>
      </c>
      <c r="C71" s="22" t="s">
        <v>286</v>
      </c>
      <c r="D71" s="5" t="s">
        <v>8</v>
      </c>
      <c r="E71" s="5" t="s">
        <v>15</v>
      </c>
      <c r="F71" s="7" t="str">
        <f>VLOOKUP($E71,'Приложение 4'!$B$2:$C$10,2,FALSE)</f>
        <v>т</v>
      </c>
      <c r="G71" s="7">
        <v>0.2</v>
      </c>
      <c r="H71" s="5"/>
      <c r="I71" s="30">
        <v>0</v>
      </c>
      <c r="J71" s="30">
        <f t="shared" si="1"/>
        <v>0</v>
      </c>
    </row>
    <row r="72" spans="1:10" ht="30" hidden="1" outlineLevel="1" x14ac:dyDescent="0.25">
      <c r="A72" s="9" t="s">
        <v>460</v>
      </c>
      <c r="B72" s="22" t="s">
        <v>125</v>
      </c>
      <c r="C72" s="22" t="s">
        <v>287</v>
      </c>
      <c r="D72" s="5" t="s">
        <v>8</v>
      </c>
      <c r="E72" s="5" t="s">
        <v>15</v>
      </c>
      <c r="F72" s="7" t="str">
        <f>VLOOKUP($E72,'Приложение 4'!$B$2:$C$10,2,FALSE)</f>
        <v>т</v>
      </c>
      <c r="G72" s="7">
        <v>0</v>
      </c>
      <c r="H72" s="5"/>
      <c r="I72" s="30">
        <v>0</v>
      </c>
      <c r="J72" s="30">
        <f t="shared" si="1"/>
        <v>0</v>
      </c>
    </row>
    <row r="73" spans="1:10" ht="30" hidden="1" outlineLevel="1" x14ac:dyDescent="0.25">
      <c r="A73" s="9" t="s">
        <v>461</v>
      </c>
      <c r="B73" s="22" t="s">
        <v>126</v>
      </c>
      <c r="C73" s="22" t="s">
        <v>288</v>
      </c>
      <c r="D73" s="5" t="s">
        <v>8</v>
      </c>
      <c r="E73" s="5" t="s">
        <v>15</v>
      </c>
      <c r="F73" s="7" t="str">
        <f>VLOOKUP($E73,'Приложение 4'!$B$2:$C$10,2,FALSE)</f>
        <v>т</v>
      </c>
      <c r="G73" s="7">
        <v>0.5</v>
      </c>
      <c r="H73" s="5"/>
      <c r="I73" s="30">
        <v>0</v>
      </c>
      <c r="J73" s="30">
        <f t="shared" si="1"/>
        <v>0</v>
      </c>
    </row>
    <row r="74" spans="1:10" ht="30" hidden="1" outlineLevel="1" x14ac:dyDescent="0.25">
      <c r="A74" s="9" t="s">
        <v>462</v>
      </c>
      <c r="B74" s="22" t="s">
        <v>127</v>
      </c>
      <c r="C74" s="22" t="s">
        <v>289</v>
      </c>
      <c r="D74" s="5" t="s">
        <v>8</v>
      </c>
      <c r="E74" s="5" t="s">
        <v>15</v>
      </c>
      <c r="F74" s="7" t="str">
        <f>VLOOKUP($E74,'Приложение 4'!$B$2:$C$10,2,FALSE)</f>
        <v>т</v>
      </c>
      <c r="G74" s="7">
        <v>2.5</v>
      </c>
      <c r="H74" s="5"/>
      <c r="I74" s="30">
        <v>0</v>
      </c>
      <c r="J74" s="30">
        <f t="shared" si="1"/>
        <v>0</v>
      </c>
    </row>
    <row r="75" spans="1:10" ht="30" hidden="1" outlineLevel="1" x14ac:dyDescent="0.25">
      <c r="A75" s="9" t="s">
        <v>463</v>
      </c>
      <c r="B75" s="22" t="s">
        <v>128</v>
      </c>
      <c r="C75" s="22" t="s">
        <v>290</v>
      </c>
      <c r="D75" s="5" t="s">
        <v>8</v>
      </c>
      <c r="E75" s="5" t="s">
        <v>15</v>
      </c>
      <c r="F75" s="7" t="str">
        <f>VLOOKUP($E75,'Приложение 4'!$B$2:$C$10,2,FALSE)</f>
        <v>т</v>
      </c>
      <c r="G75" s="7">
        <v>0</v>
      </c>
      <c r="H75" s="5"/>
      <c r="I75" s="30">
        <v>0</v>
      </c>
      <c r="J75" s="30">
        <f t="shared" si="1"/>
        <v>0</v>
      </c>
    </row>
    <row r="76" spans="1:10" ht="30" hidden="1" outlineLevel="1" x14ac:dyDescent="0.25">
      <c r="A76" s="9" t="s">
        <v>464</v>
      </c>
      <c r="B76" s="22" t="s">
        <v>129</v>
      </c>
      <c r="C76" s="22" t="s">
        <v>291</v>
      </c>
      <c r="D76" s="5" t="s">
        <v>8</v>
      </c>
      <c r="E76" s="5" t="s">
        <v>15</v>
      </c>
      <c r="F76" s="7" t="str">
        <f>VLOOKUP($E76,'Приложение 4'!$B$2:$C$10,2,FALSE)</f>
        <v>т</v>
      </c>
      <c r="G76" s="7">
        <v>0.3</v>
      </c>
      <c r="H76" s="5"/>
      <c r="I76" s="30">
        <v>0</v>
      </c>
      <c r="J76" s="30">
        <f t="shared" si="1"/>
        <v>0</v>
      </c>
    </row>
    <row r="77" spans="1:10" ht="30" hidden="1" outlineLevel="1" x14ac:dyDescent="0.25">
      <c r="A77" s="9" t="s">
        <v>465</v>
      </c>
      <c r="B77" s="22" t="s">
        <v>130</v>
      </c>
      <c r="C77" s="22" t="s">
        <v>292</v>
      </c>
      <c r="D77" s="5" t="s">
        <v>8</v>
      </c>
      <c r="E77" s="5" t="s">
        <v>15</v>
      </c>
      <c r="F77" s="7" t="str">
        <f>VLOOKUP($E77,'Приложение 4'!$B$2:$C$10,2,FALSE)</f>
        <v>т</v>
      </c>
      <c r="G77" s="7">
        <v>0.8</v>
      </c>
      <c r="H77" s="5"/>
      <c r="I77" s="30">
        <v>0</v>
      </c>
      <c r="J77" s="30">
        <f t="shared" si="1"/>
        <v>0</v>
      </c>
    </row>
    <row r="78" spans="1:10" ht="30" hidden="1" outlineLevel="1" x14ac:dyDescent="0.25">
      <c r="A78" s="9" t="s">
        <v>466</v>
      </c>
      <c r="B78" s="22" t="s">
        <v>131</v>
      </c>
      <c r="C78" s="22" t="s">
        <v>293</v>
      </c>
      <c r="D78" s="5" t="s">
        <v>8</v>
      </c>
      <c r="E78" s="5" t="s">
        <v>15</v>
      </c>
      <c r="F78" s="7" t="str">
        <f>VLOOKUP($E78,'Приложение 4'!$B$2:$C$10,2,FALSE)</f>
        <v>т</v>
      </c>
      <c r="G78" s="7">
        <v>0.3</v>
      </c>
      <c r="H78" s="5"/>
      <c r="I78" s="30">
        <v>0</v>
      </c>
      <c r="J78" s="30">
        <f t="shared" si="1"/>
        <v>0</v>
      </c>
    </row>
    <row r="79" spans="1:10" ht="30" hidden="1" outlineLevel="1" x14ac:dyDescent="0.25">
      <c r="A79" s="9" t="s">
        <v>467</v>
      </c>
      <c r="B79" s="22" t="s">
        <v>132</v>
      </c>
      <c r="C79" s="22" t="s">
        <v>294</v>
      </c>
      <c r="D79" s="5" t="s">
        <v>8</v>
      </c>
      <c r="E79" s="5" t="s">
        <v>15</v>
      </c>
      <c r="F79" s="7" t="str">
        <f>VLOOKUP($E79,'Приложение 4'!$B$2:$C$10,2,FALSE)</f>
        <v>т</v>
      </c>
      <c r="G79" s="7">
        <v>1.2</v>
      </c>
      <c r="H79" s="5"/>
      <c r="I79" s="30">
        <v>0</v>
      </c>
      <c r="J79" s="30">
        <f t="shared" si="1"/>
        <v>0</v>
      </c>
    </row>
    <row r="80" spans="1:10" ht="30" hidden="1" outlineLevel="1" x14ac:dyDescent="0.25">
      <c r="A80" s="9" t="s">
        <v>468</v>
      </c>
      <c r="B80" s="22" t="s">
        <v>133</v>
      </c>
      <c r="C80" s="22" t="s">
        <v>295</v>
      </c>
      <c r="D80" s="5" t="s">
        <v>8</v>
      </c>
      <c r="E80" s="5" t="s">
        <v>15</v>
      </c>
      <c r="F80" s="7" t="str">
        <f>VLOOKUP($E80,'Приложение 4'!$B$2:$C$10,2,FALSE)</f>
        <v>т</v>
      </c>
      <c r="G80" s="7">
        <v>1.2</v>
      </c>
      <c r="H80" s="5"/>
      <c r="I80" s="30">
        <v>0</v>
      </c>
      <c r="J80" s="30">
        <f t="shared" si="1"/>
        <v>0</v>
      </c>
    </row>
    <row r="81" spans="1:10" ht="30" hidden="1" outlineLevel="1" x14ac:dyDescent="0.25">
      <c r="A81" s="9" t="s">
        <v>469</v>
      </c>
      <c r="B81" s="22" t="s">
        <v>134</v>
      </c>
      <c r="C81" s="22" t="s">
        <v>296</v>
      </c>
      <c r="D81" s="5" t="s">
        <v>8</v>
      </c>
      <c r="E81" s="5" t="s">
        <v>15</v>
      </c>
      <c r="F81" s="7" t="str">
        <f>VLOOKUP($E81,'Приложение 4'!$B$2:$C$10,2,FALSE)</f>
        <v>т</v>
      </c>
      <c r="G81" s="7">
        <v>0.7</v>
      </c>
      <c r="H81" s="5"/>
      <c r="I81" s="30">
        <v>0</v>
      </c>
      <c r="J81" s="30">
        <f t="shared" si="1"/>
        <v>0</v>
      </c>
    </row>
    <row r="82" spans="1:10" ht="30" hidden="1" outlineLevel="1" x14ac:dyDescent="0.25">
      <c r="A82" s="9" t="s">
        <v>470</v>
      </c>
      <c r="B82" s="22" t="s">
        <v>135</v>
      </c>
      <c r="C82" s="22" t="s">
        <v>297</v>
      </c>
      <c r="D82" s="5" t="s">
        <v>8</v>
      </c>
      <c r="E82" s="5" t="s">
        <v>15</v>
      </c>
      <c r="F82" s="7" t="str">
        <f>VLOOKUP($E82,'Приложение 4'!$B$2:$C$10,2,FALSE)</f>
        <v>т</v>
      </c>
      <c r="G82" s="7">
        <v>0.3</v>
      </c>
      <c r="H82" s="5"/>
      <c r="I82" s="30">
        <v>0</v>
      </c>
      <c r="J82" s="30">
        <f t="shared" si="1"/>
        <v>0</v>
      </c>
    </row>
    <row r="83" spans="1:10" ht="30" hidden="1" outlineLevel="1" x14ac:dyDescent="0.25">
      <c r="A83" s="9" t="s">
        <v>471</v>
      </c>
      <c r="B83" s="22" t="s">
        <v>136</v>
      </c>
      <c r="C83" s="22" t="s">
        <v>298</v>
      </c>
      <c r="D83" s="5" t="s">
        <v>8</v>
      </c>
      <c r="E83" s="5" t="s">
        <v>15</v>
      </c>
      <c r="F83" s="7" t="str">
        <f>VLOOKUP($E83,'Приложение 4'!$B$2:$C$10,2,FALSE)</f>
        <v>т</v>
      </c>
      <c r="G83" s="7">
        <v>0</v>
      </c>
      <c r="H83" s="5"/>
      <c r="I83" s="30">
        <v>0</v>
      </c>
      <c r="J83" s="30">
        <f t="shared" si="1"/>
        <v>0</v>
      </c>
    </row>
    <row r="84" spans="1:10" ht="30" hidden="1" outlineLevel="1" x14ac:dyDescent="0.25">
      <c r="A84" s="9" t="s">
        <v>472</v>
      </c>
      <c r="B84" s="22" t="s">
        <v>137</v>
      </c>
      <c r="C84" s="22" t="s">
        <v>299</v>
      </c>
      <c r="D84" s="5" t="s">
        <v>8</v>
      </c>
      <c r="E84" s="5" t="s">
        <v>15</v>
      </c>
      <c r="F84" s="7" t="str">
        <f>VLOOKUP($E84,'Приложение 4'!$B$2:$C$10,2,FALSE)</f>
        <v>т</v>
      </c>
      <c r="G84" s="7">
        <v>0.5</v>
      </c>
      <c r="H84" s="5"/>
      <c r="I84" s="30">
        <v>0</v>
      </c>
      <c r="J84" s="30">
        <f t="shared" si="1"/>
        <v>0</v>
      </c>
    </row>
    <row r="85" spans="1:10" ht="30" hidden="1" outlineLevel="1" x14ac:dyDescent="0.25">
      <c r="A85" s="9" t="s">
        <v>473</v>
      </c>
      <c r="B85" s="22" t="s">
        <v>138</v>
      </c>
      <c r="C85" s="22" t="s">
        <v>300</v>
      </c>
      <c r="D85" s="5" t="s">
        <v>8</v>
      </c>
      <c r="E85" s="5" t="s">
        <v>15</v>
      </c>
      <c r="F85" s="7" t="str">
        <f>VLOOKUP($E85,'Приложение 4'!$B$2:$C$10,2,FALSE)</f>
        <v>т</v>
      </c>
      <c r="G85" s="7">
        <v>0</v>
      </c>
      <c r="H85" s="5"/>
      <c r="I85" s="30">
        <v>0</v>
      </c>
      <c r="J85" s="30">
        <f t="shared" si="1"/>
        <v>0</v>
      </c>
    </row>
    <row r="86" spans="1:10" ht="30" hidden="1" outlineLevel="1" x14ac:dyDescent="0.25">
      <c r="A86" s="9" t="s">
        <v>474</v>
      </c>
      <c r="B86" s="22" t="s">
        <v>139</v>
      </c>
      <c r="C86" s="22" t="s">
        <v>140</v>
      </c>
      <c r="D86" s="5" t="s">
        <v>8</v>
      </c>
      <c r="E86" s="5" t="s">
        <v>15</v>
      </c>
      <c r="F86" s="7" t="str">
        <f>VLOOKUP($E86,'Приложение 4'!$B$2:$C$10,2,FALSE)</f>
        <v>т</v>
      </c>
      <c r="G86" s="7">
        <v>2.8</v>
      </c>
      <c r="H86" s="5"/>
      <c r="I86" s="30">
        <v>0</v>
      </c>
      <c r="J86" s="30">
        <f t="shared" si="1"/>
        <v>0</v>
      </c>
    </row>
    <row r="87" spans="1:10" ht="30" hidden="1" outlineLevel="1" x14ac:dyDescent="0.25">
      <c r="A87" s="9" t="s">
        <v>475</v>
      </c>
      <c r="B87" s="22" t="s">
        <v>141</v>
      </c>
      <c r="C87" s="22" t="s">
        <v>142</v>
      </c>
      <c r="D87" s="5" t="s">
        <v>8</v>
      </c>
      <c r="E87" s="5" t="s">
        <v>15</v>
      </c>
      <c r="F87" s="7" t="str">
        <f>VLOOKUP($E87,'Приложение 4'!$B$2:$C$10,2,FALSE)</f>
        <v>т</v>
      </c>
      <c r="G87" s="7">
        <v>0</v>
      </c>
      <c r="H87" s="5"/>
      <c r="I87" s="30">
        <v>0</v>
      </c>
      <c r="J87" s="30">
        <f t="shared" si="1"/>
        <v>0</v>
      </c>
    </row>
    <row r="88" spans="1:10" ht="30" hidden="1" outlineLevel="1" x14ac:dyDescent="0.25">
      <c r="A88" s="9" t="s">
        <v>476</v>
      </c>
      <c r="B88" s="22" t="s">
        <v>143</v>
      </c>
      <c r="C88" s="22" t="s">
        <v>144</v>
      </c>
      <c r="D88" s="5" t="s">
        <v>8</v>
      </c>
      <c r="E88" s="5" t="s">
        <v>15</v>
      </c>
      <c r="F88" s="7" t="str">
        <f>VLOOKUP($E88,'Приложение 4'!$B$2:$C$10,2,FALSE)</f>
        <v>т</v>
      </c>
      <c r="G88" s="7">
        <v>2.5</v>
      </c>
      <c r="H88" s="5"/>
      <c r="I88" s="30">
        <v>0</v>
      </c>
      <c r="J88" s="30">
        <f t="shared" si="1"/>
        <v>0</v>
      </c>
    </row>
    <row r="89" spans="1:10" ht="30" hidden="1" outlineLevel="1" x14ac:dyDescent="0.25">
      <c r="A89" s="9" t="s">
        <v>477</v>
      </c>
      <c r="B89" s="22" t="s">
        <v>145</v>
      </c>
      <c r="C89" s="22" t="s">
        <v>389</v>
      </c>
      <c r="D89" s="5" t="s">
        <v>8</v>
      </c>
      <c r="E89" s="5" t="s">
        <v>15</v>
      </c>
      <c r="F89" s="7" t="str">
        <f>VLOOKUP($E89,'Приложение 4'!$B$2:$C$10,2,FALSE)</f>
        <v>т</v>
      </c>
      <c r="G89" s="7">
        <v>3</v>
      </c>
      <c r="H89" s="5"/>
      <c r="I89" s="30">
        <v>0</v>
      </c>
      <c r="J89" s="30">
        <f t="shared" si="1"/>
        <v>0</v>
      </c>
    </row>
    <row r="90" spans="1:10" ht="30" hidden="1" outlineLevel="1" x14ac:dyDescent="0.25">
      <c r="A90" s="9" t="s">
        <v>478</v>
      </c>
      <c r="B90" s="22" t="s">
        <v>146</v>
      </c>
      <c r="C90" s="22" t="s">
        <v>301</v>
      </c>
      <c r="D90" s="5" t="s">
        <v>8</v>
      </c>
      <c r="E90" s="5" t="s">
        <v>15</v>
      </c>
      <c r="F90" s="7" t="str">
        <f>VLOOKUP($E90,'Приложение 4'!$B$2:$C$10,2,FALSE)</f>
        <v>т</v>
      </c>
      <c r="G90" s="7">
        <v>0.4</v>
      </c>
      <c r="H90" s="5"/>
      <c r="I90" s="30">
        <v>0</v>
      </c>
      <c r="J90" s="30">
        <f t="shared" si="1"/>
        <v>0</v>
      </c>
    </row>
    <row r="91" spans="1:10" ht="30" hidden="1" outlineLevel="1" x14ac:dyDescent="0.25">
      <c r="A91" s="9" t="s">
        <v>479</v>
      </c>
      <c r="B91" s="22" t="s">
        <v>147</v>
      </c>
      <c r="C91" s="22" t="s">
        <v>302</v>
      </c>
      <c r="D91" s="5" t="s">
        <v>8</v>
      </c>
      <c r="E91" s="5" t="s">
        <v>15</v>
      </c>
      <c r="F91" s="7" t="str">
        <f>VLOOKUP($E91,'Приложение 4'!$B$2:$C$10,2,FALSE)</f>
        <v>т</v>
      </c>
      <c r="G91" s="7">
        <v>0.1</v>
      </c>
      <c r="H91" s="5"/>
      <c r="I91" s="30">
        <v>0</v>
      </c>
      <c r="J91" s="30">
        <f t="shared" si="1"/>
        <v>0</v>
      </c>
    </row>
    <row r="92" spans="1:10" ht="60" hidden="1" outlineLevel="1" x14ac:dyDescent="0.25">
      <c r="A92" s="9" t="s">
        <v>480</v>
      </c>
      <c r="B92" s="22" t="s">
        <v>148</v>
      </c>
      <c r="C92" s="22" t="s">
        <v>303</v>
      </c>
      <c r="D92" s="5" t="s">
        <v>8</v>
      </c>
      <c r="E92" s="5" t="s">
        <v>15</v>
      </c>
      <c r="F92" s="7" t="str">
        <f>VLOOKUP($E92,'Приложение 4'!$B$2:$C$10,2,FALSE)</f>
        <v>т</v>
      </c>
      <c r="G92" s="7">
        <v>0.06</v>
      </c>
      <c r="H92" s="5"/>
      <c r="I92" s="30">
        <v>0</v>
      </c>
      <c r="J92" s="30">
        <f t="shared" si="1"/>
        <v>0</v>
      </c>
    </row>
    <row r="93" spans="1:10" ht="30" hidden="1" outlineLevel="1" x14ac:dyDescent="0.25">
      <c r="A93" s="9" t="s">
        <v>481</v>
      </c>
      <c r="B93" s="22" t="s">
        <v>149</v>
      </c>
      <c r="C93" s="22" t="s">
        <v>304</v>
      </c>
      <c r="D93" s="5" t="s">
        <v>8</v>
      </c>
      <c r="E93" s="5" t="s">
        <v>15</v>
      </c>
      <c r="F93" s="7" t="str">
        <f>VLOOKUP($E93,'Приложение 4'!$B$2:$C$10,2,FALSE)</f>
        <v>т</v>
      </c>
      <c r="G93" s="7">
        <v>0.2</v>
      </c>
      <c r="H93" s="5"/>
      <c r="I93" s="30">
        <v>0</v>
      </c>
      <c r="J93" s="30">
        <f t="shared" si="1"/>
        <v>0</v>
      </c>
    </row>
    <row r="94" spans="1:10" ht="30" hidden="1" outlineLevel="1" x14ac:dyDescent="0.25">
      <c r="A94" s="9" t="s">
        <v>482</v>
      </c>
      <c r="B94" s="22" t="s">
        <v>150</v>
      </c>
      <c r="C94" s="22" t="s">
        <v>305</v>
      </c>
      <c r="D94" s="5" t="s">
        <v>8</v>
      </c>
      <c r="E94" s="5" t="s">
        <v>15</v>
      </c>
      <c r="F94" s="7" t="str">
        <f>VLOOKUP($E94,'Приложение 4'!$B$2:$C$10,2,FALSE)</f>
        <v>т</v>
      </c>
      <c r="G94" s="7">
        <v>3.8</v>
      </c>
      <c r="H94" s="5"/>
      <c r="I94" s="30">
        <v>0</v>
      </c>
      <c r="J94" s="30">
        <f t="shared" si="1"/>
        <v>0</v>
      </c>
    </row>
    <row r="95" spans="1:10" ht="30" hidden="1" outlineLevel="1" x14ac:dyDescent="0.25">
      <c r="A95" s="9" t="s">
        <v>483</v>
      </c>
      <c r="B95" s="22" t="s">
        <v>151</v>
      </c>
      <c r="C95" s="22" t="s">
        <v>306</v>
      </c>
      <c r="D95" s="5" t="s">
        <v>8</v>
      </c>
      <c r="E95" s="5" t="s">
        <v>15</v>
      </c>
      <c r="F95" s="7" t="str">
        <f>VLOOKUP($E95,'Приложение 4'!$B$2:$C$10,2,FALSE)</f>
        <v>т</v>
      </c>
      <c r="G95" s="7">
        <v>0.2</v>
      </c>
      <c r="H95" s="5"/>
      <c r="I95" s="30">
        <v>0</v>
      </c>
      <c r="J95" s="30">
        <f t="shared" si="1"/>
        <v>0</v>
      </c>
    </row>
    <row r="96" spans="1:10" ht="30" hidden="1" outlineLevel="1" x14ac:dyDescent="0.25">
      <c r="A96" s="9" t="s">
        <v>484</v>
      </c>
      <c r="B96" s="22" t="s">
        <v>152</v>
      </c>
      <c r="C96" s="22" t="s">
        <v>307</v>
      </c>
      <c r="D96" s="5" t="s">
        <v>8</v>
      </c>
      <c r="E96" s="5" t="s">
        <v>15</v>
      </c>
      <c r="F96" s="7" t="str">
        <f>VLOOKUP($E96,'Приложение 4'!$B$2:$C$10,2,FALSE)</f>
        <v>т</v>
      </c>
      <c r="G96" s="7">
        <v>0</v>
      </c>
      <c r="H96" s="5"/>
      <c r="I96" s="30">
        <v>0</v>
      </c>
      <c r="J96" s="30">
        <f t="shared" si="1"/>
        <v>0</v>
      </c>
    </row>
    <row r="97" spans="1:10" ht="30" hidden="1" outlineLevel="1" x14ac:dyDescent="0.25">
      <c r="A97" s="9" t="s">
        <v>485</v>
      </c>
      <c r="B97" s="22" t="s">
        <v>153</v>
      </c>
      <c r="C97" s="22" t="s">
        <v>308</v>
      </c>
      <c r="D97" s="5" t="s">
        <v>8</v>
      </c>
      <c r="E97" s="5" t="s">
        <v>15</v>
      </c>
      <c r="F97" s="7" t="str">
        <f>VLOOKUP($E97,'Приложение 4'!$B$2:$C$10,2,FALSE)</f>
        <v>т</v>
      </c>
      <c r="G97" s="7">
        <v>0.8</v>
      </c>
      <c r="H97" s="5"/>
      <c r="I97" s="30">
        <v>0</v>
      </c>
      <c r="J97" s="30">
        <f t="shared" si="1"/>
        <v>0</v>
      </c>
    </row>
    <row r="98" spans="1:10" ht="30" hidden="1" outlineLevel="1" x14ac:dyDescent="0.25">
      <c r="A98" s="9" t="s">
        <v>486</v>
      </c>
      <c r="B98" s="22" t="s">
        <v>154</v>
      </c>
      <c r="C98" s="22" t="s">
        <v>309</v>
      </c>
      <c r="D98" s="5" t="s">
        <v>8</v>
      </c>
      <c r="E98" s="5" t="s">
        <v>15</v>
      </c>
      <c r="F98" s="7" t="str">
        <f>VLOOKUP($E98,'Приложение 4'!$B$2:$C$10,2,FALSE)</f>
        <v>т</v>
      </c>
      <c r="G98" s="7">
        <v>0</v>
      </c>
      <c r="H98" s="5"/>
      <c r="I98" s="30">
        <v>0</v>
      </c>
      <c r="J98" s="30">
        <f t="shared" si="1"/>
        <v>0</v>
      </c>
    </row>
    <row r="99" spans="1:10" ht="30" hidden="1" outlineLevel="1" x14ac:dyDescent="0.25">
      <c r="A99" s="9" t="s">
        <v>487</v>
      </c>
      <c r="B99" s="22" t="s">
        <v>155</v>
      </c>
      <c r="C99" s="22" t="s">
        <v>310</v>
      </c>
      <c r="D99" s="5" t="s">
        <v>8</v>
      </c>
      <c r="E99" s="5" t="s">
        <v>15</v>
      </c>
      <c r="F99" s="7" t="str">
        <f>VLOOKUP($E99,'Приложение 4'!$B$2:$C$10,2,FALSE)</f>
        <v>т</v>
      </c>
      <c r="G99" s="7">
        <v>0.75</v>
      </c>
      <c r="H99" s="5"/>
      <c r="I99" s="30">
        <v>0</v>
      </c>
      <c r="J99" s="30">
        <f t="shared" si="1"/>
        <v>0</v>
      </c>
    </row>
    <row r="100" spans="1:10" ht="30" hidden="1" outlineLevel="1" x14ac:dyDescent="0.25">
      <c r="A100" s="9" t="s">
        <v>488</v>
      </c>
      <c r="B100" s="22" t="s">
        <v>156</v>
      </c>
      <c r="C100" s="22" t="s">
        <v>311</v>
      </c>
      <c r="D100" s="5" t="s">
        <v>8</v>
      </c>
      <c r="E100" s="5" t="s">
        <v>15</v>
      </c>
      <c r="F100" s="7" t="str">
        <f>VLOOKUP($E100,'Приложение 4'!$B$2:$C$10,2,FALSE)</f>
        <v>т</v>
      </c>
      <c r="G100" s="7">
        <v>0</v>
      </c>
      <c r="H100" s="5"/>
      <c r="I100" s="30">
        <v>0</v>
      </c>
      <c r="J100" s="30">
        <f t="shared" si="1"/>
        <v>0</v>
      </c>
    </row>
    <row r="101" spans="1:10" ht="30" hidden="1" outlineLevel="1" x14ac:dyDescent="0.25">
      <c r="A101" s="9" t="s">
        <v>489</v>
      </c>
      <c r="B101" s="22" t="s">
        <v>157</v>
      </c>
      <c r="C101" s="22" t="s">
        <v>312</v>
      </c>
      <c r="D101" s="5" t="s">
        <v>8</v>
      </c>
      <c r="E101" s="5" t="s">
        <v>15</v>
      </c>
      <c r="F101" s="7" t="str">
        <f>VLOOKUP($E101,'Приложение 4'!$B$2:$C$10,2,FALSE)</f>
        <v>т</v>
      </c>
      <c r="G101" s="7">
        <v>0.05</v>
      </c>
      <c r="H101" s="5"/>
      <c r="I101" s="30">
        <v>0</v>
      </c>
      <c r="J101" s="30">
        <f t="shared" si="1"/>
        <v>0</v>
      </c>
    </row>
    <row r="102" spans="1:10" ht="30" hidden="1" outlineLevel="1" x14ac:dyDescent="0.25">
      <c r="A102" s="9" t="s">
        <v>490</v>
      </c>
      <c r="B102" s="22" t="s">
        <v>158</v>
      </c>
      <c r="C102" s="22" t="s">
        <v>313</v>
      </c>
      <c r="D102" s="5" t="s">
        <v>8</v>
      </c>
      <c r="E102" s="5" t="s">
        <v>15</v>
      </c>
      <c r="F102" s="7" t="str">
        <f>VLOOKUP($E102,'Приложение 4'!$B$2:$C$10,2,FALSE)</f>
        <v>т</v>
      </c>
      <c r="G102" s="7">
        <v>0.8</v>
      </c>
      <c r="H102" s="5"/>
      <c r="I102" s="30">
        <v>0</v>
      </c>
      <c r="J102" s="30">
        <f t="shared" si="1"/>
        <v>0</v>
      </c>
    </row>
    <row r="103" spans="1:10" ht="30" hidden="1" outlineLevel="1" x14ac:dyDescent="0.25">
      <c r="A103" s="9" t="s">
        <v>491</v>
      </c>
      <c r="B103" s="22" t="s">
        <v>159</v>
      </c>
      <c r="C103" s="22" t="s">
        <v>314</v>
      </c>
      <c r="D103" s="5" t="s">
        <v>8</v>
      </c>
      <c r="E103" s="5" t="s">
        <v>15</v>
      </c>
      <c r="F103" s="7" t="str">
        <f>VLOOKUP($E103,'Приложение 4'!$B$2:$C$10,2,FALSE)</f>
        <v>т</v>
      </c>
      <c r="G103" s="7">
        <v>0</v>
      </c>
      <c r="H103" s="5"/>
      <c r="I103" s="30">
        <v>0</v>
      </c>
      <c r="J103" s="30">
        <f t="shared" si="1"/>
        <v>0</v>
      </c>
    </row>
    <row r="104" spans="1:10" ht="30" hidden="1" outlineLevel="1" x14ac:dyDescent="0.25">
      <c r="A104" s="9" t="s">
        <v>492</v>
      </c>
      <c r="B104" s="22" t="s">
        <v>160</v>
      </c>
      <c r="C104" s="22" t="s">
        <v>315</v>
      </c>
      <c r="D104" s="5" t="s">
        <v>8</v>
      </c>
      <c r="E104" s="5" t="s">
        <v>15</v>
      </c>
      <c r="F104" s="7" t="str">
        <f>VLOOKUP($E104,'Приложение 4'!$B$2:$C$10,2,FALSE)</f>
        <v>т</v>
      </c>
      <c r="G104" s="7">
        <v>0.05</v>
      </c>
      <c r="H104" s="5"/>
      <c r="I104" s="30">
        <v>0</v>
      </c>
      <c r="J104" s="30">
        <f t="shared" si="1"/>
        <v>0</v>
      </c>
    </row>
    <row r="105" spans="1:10" ht="30" hidden="1" outlineLevel="1" x14ac:dyDescent="0.25">
      <c r="A105" s="9" t="s">
        <v>493</v>
      </c>
      <c r="B105" s="22" t="s">
        <v>161</v>
      </c>
      <c r="C105" s="22" t="s">
        <v>316</v>
      </c>
      <c r="D105" s="5" t="s">
        <v>8</v>
      </c>
      <c r="E105" s="5" t="s">
        <v>15</v>
      </c>
      <c r="F105" s="7" t="str">
        <f>VLOOKUP($E105,'Приложение 4'!$B$2:$C$10,2,FALSE)</f>
        <v>т</v>
      </c>
      <c r="G105" s="7">
        <v>0.75</v>
      </c>
      <c r="H105" s="5"/>
      <c r="I105" s="30">
        <v>0</v>
      </c>
      <c r="J105" s="30">
        <f t="shared" si="1"/>
        <v>0</v>
      </c>
    </row>
    <row r="106" spans="1:10" ht="30" hidden="1" outlineLevel="1" x14ac:dyDescent="0.25">
      <c r="A106" s="9" t="s">
        <v>494</v>
      </c>
      <c r="B106" s="22" t="s">
        <v>162</v>
      </c>
      <c r="C106" s="22" t="s">
        <v>317</v>
      </c>
      <c r="D106" s="5" t="s">
        <v>8</v>
      </c>
      <c r="E106" s="5" t="s">
        <v>15</v>
      </c>
      <c r="F106" s="7" t="str">
        <f>VLOOKUP($E106,'Приложение 4'!$B$2:$C$10,2,FALSE)</f>
        <v>т</v>
      </c>
      <c r="G106" s="7">
        <v>0</v>
      </c>
      <c r="H106" s="5"/>
      <c r="I106" s="30">
        <v>0</v>
      </c>
      <c r="J106" s="30">
        <f t="shared" si="1"/>
        <v>0</v>
      </c>
    </row>
    <row r="107" spans="1:10" ht="30" hidden="1" outlineLevel="1" x14ac:dyDescent="0.25">
      <c r="A107" s="9" t="s">
        <v>495</v>
      </c>
      <c r="B107" s="22" t="s">
        <v>163</v>
      </c>
      <c r="C107" s="22" t="s">
        <v>318</v>
      </c>
      <c r="D107" s="5" t="s">
        <v>8</v>
      </c>
      <c r="E107" s="5" t="s">
        <v>15</v>
      </c>
      <c r="F107" s="7" t="str">
        <f>VLOOKUP($E107,'Приложение 4'!$B$2:$C$10,2,FALSE)</f>
        <v>т</v>
      </c>
      <c r="G107" s="7">
        <v>0.05</v>
      </c>
      <c r="H107" s="5"/>
      <c r="I107" s="30">
        <v>0</v>
      </c>
      <c r="J107" s="30">
        <f t="shared" si="1"/>
        <v>0</v>
      </c>
    </row>
    <row r="108" spans="1:10" ht="30" hidden="1" outlineLevel="1" x14ac:dyDescent="0.25">
      <c r="A108" s="9" t="s">
        <v>496</v>
      </c>
      <c r="B108" s="22" t="s">
        <v>164</v>
      </c>
      <c r="C108" s="22" t="s">
        <v>319</v>
      </c>
      <c r="D108" s="5" t="s">
        <v>8</v>
      </c>
      <c r="E108" s="5" t="s">
        <v>15</v>
      </c>
      <c r="F108" s="7" t="str">
        <f>VLOOKUP($E108,'Приложение 4'!$B$2:$C$10,2,FALSE)</f>
        <v>т</v>
      </c>
      <c r="G108" s="7">
        <v>0.05</v>
      </c>
      <c r="H108" s="5"/>
      <c r="I108" s="30">
        <v>0</v>
      </c>
      <c r="J108" s="30">
        <f t="shared" si="1"/>
        <v>0</v>
      </c>
    </row>
    <row r="109" spans="1:10" ht="30" hidden="1" outlineLevel="1" x14ac:dyDescent="0.25">
      <c r="A109" s="9" t="s">
        <v>497</v>
      </c>
      <c r="B109" s="22" t="s">
        <v>165</v>
      </c>
      <c r="C109" s="22" t="s">
        <v>320</v>
      </c>
      <c r="D109" s="5" t="s">
        <v>8</v>
      </c>
      <c r="E109" s="5" t="s">
        <v>15</v>
      </c>
      <c r="F109" s="7" t="str">
        <f>VLOOKUP($E109,'Приложение 4'!$B$2:$C$10,2,FALSE)</f>
        <v>т</v>
      </c>
      <c r="G109" s="7">
        <v>3.8</v>
      </c>
      <c r="H109" s="5"/>
      <c r="I109" s="30">
        <v>0</v>
      </c>
      <c r="J109" s="30">
        <f t="shared" si="1"/>
        <v>0</v>
      </c>
    </row>
    <row r="110" spans="1:10" ht="45" hidden="1" outlineLevel="1" x14ac:dyDescent="0.25">
      <c r="A110" s="9" t="s">
        <v>498</v>
      </c>
      <c r="B110" s="22" t="s">
        <v>878</v>
      </c>
      <c r="C110" s="22" t="s">
        <v>388</v>
      </c>
      <c r="D110" s="5" t="s">
        <v>8</v>
      </c>
      <c r="E110" s="5" t="s">
        <v>15</v>
      </c>
      <c r="F110" s="7" t="str">
        <f>VLOOKUP($E110,'Приложение 4'!$B$2:$C$10,2,FALSE)</f>
        <v>т</v>
      </c>
      <c r="G110" s="7">
        <v>0</v>
      </c>
      <c r="H110" s="5"/>
      <c r="I110" s="30">
        <v>0</v>
      </c>
      <c r="J110" s="30">
        <f t="shared" si="1"/>
        <v>0</v>
      </c>
    </row>
    <row r="111" spans="1:10" ht="30" hidden="1" outlineLevel="1" x14ac:dyDescent="0.25">
      <c r="A111" s="9" t="s">
        <v>499</v>
      </c>
      <c r="B111" s="22" t="s">
        <v>166</v>
      </c>
      <c r="C111" s="22" t="s">
        <v>321</v>
      </c>
      <c r="D111" s="5" t="s">
        <v>8</v>
      </c>
      <c r="E111" s="5" t="s">
        <v>15</v>
      </c>
      <c r="F111" s="7" t="str">
        <f>VLOOKUP($E111,'Приложение 4'!$B$2:$C$10,2,FALSE)</f>
        <v>т</v>
      </c>
      <c r="G111" s="7">
        <v>2</v>
      </c>
      <c r="H111" s="5"/>
      <c r="I111" s="30">
        <v>0</v>
      </c>
      <c r="J111" s="30">
        <f t="shared" si="1"/>
        <v>0</v>
      </c>
    </row>
    <row r="112" spans="1:10" ht="30" hidden="1" outlineLevel="1" x14ac:dyDescent="0.25">
      <c r="A112" s="9" t="s">
        <v>500</v>
      </c>
      <c r="B112" s="22" t="s">
        <v>167</v>
      </c>
      <c r="C112" s="22" t="s">
        <v>322</v>
      </c>
      <c r="D112" s="5" t="s">
        <v>8</v>
      </c>
      <c r="E112" s="5" t="s">
        <v>15</v>
      </c>
      <c r="F112" s="7" t="str">
        <f>VLOOKUP($E112,'Приложение 4'!$B$2:$C$10,2,FALSE)</f>
        <v>т</v>
      </c>
      <c r="G112" s="7">
        <v>3.8</v>
      </c>
      <c r="H112" s="5"/>
      <c r="I112" s="30">
        <v>0</v>
      </c>
      <c r="J112" s="30">
        <f t="shared" si="1"/>
        <v>0</v>
      </c>
    </row>
    <row r="113" spans="1:10" ht="45" hidden="1" outlineLevel="1" x14ac:dyDescent="0.25">
      <c r="A113" s="9" t="s">
        <v>501</v>
      </c>
      <c r="B113" s="22" t="s">
        <v>877</v>
      </c>
      <c r="C113" s="22" t="s">
        <v>387</v>
      </c>
      <c r="D113" s="5" t="s">
        <v>8</v>
      </c>
      <c r="E113" s="5" t="s">
        <v>15</v>
      </c>
      <c r="F113" s="7" t="str">
        <f>VLOOKUP($E113,'Приложение 4'!$B$2:$C$10,2,FALSE)</f>
        <v>т</v>
      </c>
      <c r="G113" s="7">
        <v>0</v>
      </c>
      <c r="H113" s="5"/>
      <c r="I113" s="30">
        <v>0</v>
      </c>
      <c r="J113" s="30">
        <f t="shared" si="1"/>
        <v>0</v>
      </c>
    </row>
    <row r="114" spans="1:10" ht="30" hidden="1" outlineLevel="1" x14ac:dyDescent="0.25">
      <c r="A114" s="9" t="s">
        <v>502</v>
      </c>
      <c r="B114" s="22" t="s">
        <v>168</v>
      </c>
      <c r="C114" s="22" t="s">
        <v>323</v>
      </c>
      <c r="D114" s="5" t="s">
        <v>8</v>
      </c>
      <c r="E114" s="5" t="s">
        <v>15</v>
      </c>
      <c r="F114" s="7" t="str">
        <f>VLOOKUP($E114,'Приложение 4'!$B$2:$C$10,2,FALSE)</f>
        <v>т</v>
      </c>
      <c r="G114" s="7">
        <v>3.8</v>
      </c>
      <c r="H114" s="5"/>
      <c r="I114" s="30">
        <v>0</v>
      </c>
      <c r="J114" s="30">
        <f t="shared" si="1"/>
        <v>0</v>
      </c>
    </row>
    <row r="115" spans="1:10" ht="30" hidden="1" outlineLevel="1" x14ac:dyDescent="0.25">
      <c r="A115" s="9" t="s">
        <v>503</v>
      </c>
      <c r="B115" s="22" t="s">
        <v>169</v>
      </c>
      <c r="C115" s="22" t="s">
        <v>386</v>
      </c>
      <c r="D115" s="5" t="s">
        <v>8</v>
      </c>
      <c r="E115" s="5" t="s">
        <v>15</v>
      </c>
      <c r="F115" s="7" t="str">
        <f>VLOOKUP($E115,'Приложение 4'!$B$2:$C$10,2,FALSE)</f>
        <v>т</v>
      </c>
      <c r="G115" s="7">
        <v>2</v>
      </c>
      <c r="H115" s="5"/>
      <c r="I115" s="30">
        <v>0</v>
      </c>
      <c r="J115" s="30">
        <f t="shared" si="1"/>
        <v>0</v>
      </c>
    </row>
    <row r="116" spans="1:10" ht="30" hidden="1" outlineLevel="1" x14ac:dyDescent="0.25">
      <c r="A116" s="9" t="s">
        <v>504</v>
      </c>
      <c r="B116" s="22" t="s">
        <v>170</v>
      </c>
      <c r="C116" s="22" t="s">
        <v>324</v>
      </c>
      <c r="D116" s="5" t="s">
        <v>8</v>
      </c>
      <c r="E116" s="5" t="s">
        <v>15</v>
      </c>
      <c r="F116" s="7" t="str">
        <f>VLOOKUP($E116,'Приложение 4'!$B$2:$C$10,2,FALSE)</f>
        <v>т</v>
      </c>
      <c r="G116" s="7">
        <v>0</v>
      </c>
      <c r="H116" s="5"/>
      <c r="I116" s="30">
        <v>0</v>
      </c>
      <c r="J116" s="30">
        <f t="shared" si="1"/>
        <v>0</v>
      </c>
    </row>
    <row r="117" spans="1:10" ht="30" hidden="1" outlineLevel="1" x14ac:dyDescent="0.25">
      <c r="A117" s="9" t="s">
        <v>505</v>
      </c>
      <c r="B117" s="22" t="s">
        <v>171</v>
      </c>
      <c r="C117" s="22" t="s">
        <v>172</v>
      </c>
      <c r="D117" s="5" t="s">
        <v>8</v>
      </c>
      <c r="E117" s="5" t="s">
        <v>15</v>
      </c>
      <c r="F117" s="7" t="str">
        <f>VLOOKUP($E117,'Приложение 4'!$B$2:$C$10,2,FALSE)</f>
        <v>т</v>
      </c>
      <c r="G117" s="7">
        <v>2.5</v>
      </c>
      <c r="H117" s="5"/>
      <c r="I117" s="30">
        <v>0</v>
      </c>
      <c r="J117" s="30">
        <f t="shared" si="1"/>
        <v>0</v>
      </c>
    </row>
    <row r="118" spans="1:10" ht="30" hidden="1" outlineLevel="1" x14ac:dyDescent="0.25">
      <c r="A118" s="9" t="s">
        <v>506</v>
      </c>
      <c r="B118" s="22" t="s">
        <v>173</v>
      </c>
      <c r="C118" s="22" t="s">
        <v>174</v>
      </c>
      <c r="D118" s="5" t="s">
        <v>8</v>
      </c>
      <c r="E118" s="5" t="s">
        <v>15</v>
      </c>
      <c r="F118" s="7" t="str">
        <f>VLOOKUP($E118,'Приложение 4'!$B$2:$C$10,2,FALSE)</f>
        <v>т</v>
      </c>
      <c r="G118" s="7">
        <v>2.5</v>
      </c>
      <c r="H118" s="5"/>
      <c r="I118" s="30">
        <v>0</v>
      </c>
      <c r="J118" s="30">
        <f t="shared" si="1"/>
        <v>0</v>
      </c>
    </row>
    <row r="119" spans="1:10" ht="30" hidden="1" outlineLevel="1" x14ac:dyDescent="0.25">
      <c r="A119" s="9" t="s">
        <v>507</v>
      </c>
      <c r="B119" s="22" t="s">
        <v>175</v>
      </c>
      <c r="C119" s="22" t="s">
        <v>325</v>
      </c>
      <c r="D119" s="5" t="s">
        <v>8</v>
      </c>
      <c r="E119" s="5" t="s">
        <v>15</v>
      </c>
      <c r="F119" s="7" t="str">
        <f>VLOOKUP($E119,'Приложение 4'!$B$2:$C$10,2,FALSE)</f>
        <v>т</v>
      </c>
      <c r="G119" s="7">
        <v>18</v>
      </c>
      <c r="H119" s="5"/>
      <c r="I119" s="30">
        <v>0</v>
      </c>
      <c r="J119" s="30">
        <f t="shared" si="1"/>
        <v>0</v>
      </c>
    </row>
    <row r="120" spans="1:10" ht="30" hidden="1" outlineLevel="1" x14ac:dyDescent="0.25">
      <c r="A120" s="9" t="s">
        <v>508</v>
      </c>
      <c r="B120" s="22" t="s">
        <v>176</v>
      </c>
      <c r="C120" s="22" t="s">
        <v>326</v>
      </c>
      <c r="D120" s="5" t="s">
        <v>8</v>
      </c>
      <c r="E120" s="5" t="s">
        <v>15</v>
      </c>
      <c r="F120" s="7" t="str">
        <f>VLOOKUP($E120,'Приложение 4'!$B$2:$C$10,2,FALSE)</f>
        <v>т</v>
      </c>
      <c r="G120" s="7">
        <v>0.1</v>
      </c>
      <c r="H120" s="5"/>
      <c r="I120" s="30">
        <v>0</v>
      </c>
      <c r="J120" s="30">
        <f t="shared" si="1"/>
        <v>0</v>
      </c>
    </row>
    <row r="121" spans="1:10" ht="30" hidden="1" outlineLevel="1" x14ac:dyDescent="0.25">
      <c r="A121" s="9" t="s">
        <v>509</v>
      </c>
      <c r="B121" s="22" t="s">
        <v>177</v>
      </c>
      <c r="C121" s="22" t="s">
        <v>327</v>
      </c>
      <c r="D121" s="5" t="s">
        <v>8</v>
      </c>
      <c r="E121" s="5" t="s">
        <v>15</v>
      </c>
      <c r="F121" s="7" t="str">
        <f>VLOOKUP($E121,'Приложение 4'!$B$2:$C$10,2,FALSE)</f>
        <v>т</v>
      </c>
      <c r="G121" s="7">
        <v>0.1</v>
      </c>
      <c r="H121" s="5"/>
      <c r="I121" s="30">
        <v>0</v>
      </c>
      <c r="J121" s="30">
        <f t="shared" si="1"/>
        <v>0</v>
      </c>
    </row>
    <row r="122" spans="1:10" ht="60" hidden="1" outlineLevel="1" x14ac:dyDescent="0.25">
      <c r="A122" s="9" t="s">
        <v>510</v>
      </c>
      <c r="B122" s="22" t="s">
        <v>178</v>
      </c>
      <c r="C122" s="22" t="s">
        <v>328</v>
      </c>
      <c r="D122" s="5" t="s">
        <v>8</v>
      </c>
      <c r="E122" s="5" t="s">
        <v>15</v>
      </c>
      <c r="F122" s="7" t="str">
        <f>VLOOKUP($E122,'Приложение 4'!$B$2:$C$10,2,FALSE)</f>
        <v>т</v>
      </c>
      <c r="G122" s="7">
        <v>0.06</v>
      </c>
      <c r="H122" s="5"/>
      <c r="I122" s="30">
        <v>0</v>
      </c>
      <c r="J122" s="30">
        <f t="shared" si="1"/>
        <v>0</v>
      </c>
    </row>
    <row r="123" spans="1:10" ht="30" hidden="1" outlineLevel="1" x14ac:dyDescent="0.25">
      <c r="A123" s="9" t="s">
        <v>511</v>
      </c>
      <c r="B123" s="22" t="s">
        <v>179</v>
      </c>
      <c r="C123" s="22" t="s">
        <v>329</v>
      </c>
      <c r="D123" s="5" t="s">
        <v>8</v>
      </c>
      <c r="E123" s="5" t="s">
        <v>15</v>
      </c>
      <c r="F123" s="7" t="str">
        <f>VLOOKUP($E123,'Приложение 4'!$B$2:$C$10,2,FALSE)</f>
        <v>т</v>
      </c>
      <c r="G123" s="7">
        <v>3.8</v>
      </c>
      <c r="H123" s="5"/>
      <c r="I123" s="30">
        <v>0</v>
      </c>
      <c r="J123" s="30">
        <f t="shared" si="1"/>
        <v>0</v>
      </c>
    </row>
    <row r="124" spans="1:10" ht="30" hidden="1" outlineLevel="1" x14ac:dyDescent="0.25">
      <c r="A124" s="9" t="s">
        <v>512</v>
      </c>
      <c r="B124" s="22" t="s">
        <v>180</v>
      </c>
      <c r="C124" s="22" t="s">
        <v>330</v>
      </c>
      <c r="D124" s="5" t="s">
        <v>8</v>
      </c>
      <c r="E124" s="5" t="s">
        <v>15</v>
      </c>
      <c r="F124" s="7" t="str">
        <f>VLOOKUP($E124,'Приложение 4'!$B$2:$C$10,2,FALSE)</f>
        <v>т</v>
      </c>
      <c r="G124" s="7">
        <v>0.3</v>
      </c>
      <c r="H124" s="5"/>
      <c r="I124" s="30">
        <v>0</v>
      </c>
      <c r="J124" s="30">
        <f t="shared" si="1"/>
        <v>0</v>
      </c>
    </row>
    <row r="125" spans="1:10" ht="30" hidden="1" outlineLevel="1" x14ac:dyDescent="0.25">
      <c r="A125" s="9" t="s">
        <v>513</v>
      </c>
      <c r="B125" s="22" t="s">
        <v>181</v>
      </c>
      <c r="C125" s="22" t="s">
        <v>331</v>
      </c>
      <c r="D125" s="5" t="s">
        <v>8</v>
      </c>
      <c r="E125" s="5" t="s">
        <v>15</v>
      </c>
      <c r="F125" s="7" t="str">
        <f>VLOOKUP($E125,'Приложение 4'!$B$2:$C$10,2,FALSE)</f>
        <v>т</v>
      </c>
      <c r="G125" s="7">
        <v>0</v>
      </c>
      <c r="H125" s="5"/>
      <c r="I125" s="30">
        <v>0</v>
      </c>
      <c r="J125" s="30">
        <f t="shared" si="1"/>
        <v>0</v>
      </c>
    </row>
    <row r="126" spans="1:10" ht="30" hidden="1" outlineLevel="1" x14ac:dyDescent="0.25">
      <c r="A126" s="9" t="s">
        <v>514</v>
      </c>
      <c r="B126" s="22" t="s">
        <v>182</v>
      </c>
      <c r="C126" s="22" t="s">
        <v>332</v>
      </c>
      <c r="D126" s="5" t="s">
        <v>8</v>
      </c>
      <c r="E126" s="5" t="s">
        <v>15</v>
      </c>
      <c r="F126" s="7" t="str">
        <f>VLOOKUP($E126,'Приложение 4'!$B$2:$C$10,2,FALSE)</f>
        <v>т</v>
      </c>
      <c r="G126" s="7">
        <v>0.2</v>
      </c>
      <c r="H126" s="5"/>
      <c r="I126" s="30">
        <v>0</v>
      </c>
      <c r="J126" s="30">
        <f t="shared" si="1"/>
        <v>0</v>
      </c>
    </row>
    <row r="127" spans="1:10" ht="30" hidden="1" outlineLevel="1" x14ac:dyDescent="0.25">
      <c r="A127" s="9" t="s">
        <v>515</v>
      </c>
      <c r="B127" s="22" t="s">
        <v>183</v>
      </c>
      <c r="C127" s="22" t="s">
        <v>333</v>
      </c>
      <c r="D127" s="5" t="s">
        <v>8</v>
      </c>
      <c r="E127" s="5" t="s">
        <v>15</v>
      </c>
      <c r="F127" s="7" t="str">
        <f>VLOOKUP($E127,'Приложение 4'!$B$2:$C$10,2,FALSE)</f>
        <v>т</v>
      </c>
      <c r="G127" s="7">
        <v>0.8</v>
      </c>
      <c r="H127" s="5"/>
      <c r="I127" s="30">
        <v>0</v>
      </c>
      <c r="J127" s="30">
        <f t="shared" si="1"/>
        <v>0</v>
      </c>
    </row>
    <row r="128" spans="1:10" ht="30" hidden="1" outlineLevel="1" x14ac:dyDescent="0.25">
      <c r="A128" s="9" t="s">
        <v>516</v>
      </c>
      <c r="B128" s="22" t="s">
        <v>184</v>
      </c>
      <c r="C128" s="22" t="s">
        <v>334</v>
      </c>
      <c r="D128" s="5" t="s">
        <v>8</v>
      </c>
      <c r="E128" s="5" t="s">
        <v>15</v>
      </c>
      <c r="F128" s="7" t="str">
        <f>VLOOKUP($E128,'Приложение 4'!$B$2:$C$10,2,FALSE)</f>
        <v>т</v>
      </c>
      <c r="G128" s="45">
        <v>1.2</v>
      </c>
      <c r="H128" s="46"/>
      <c r="I128" s="40">
        <v>0</v>
      </c>
      <c r="J128" s="40">
        <f t="shared" si="1"/>
        <v>0</v>
      </c>
    </row>
    <row r="129" spans="1:10" ht="30" hidden="1" outlineLevel="1" x14ac:dyDescent="0.25">
      <c r="A129" s="9" t="s">
        <v>517</v>
      </c>
      <c r="B129" s="22" t="s">
        <v>185</v>
      </c>
      <c r="C129" s="22" t="s">
        <v>312</v>
      </c>
      <c r="D129" s="5" t="s">
        <v>8</v>
      </c>
      <c r="E129" s="5" t="s">
        <v>15</v>
      </c>
      <c r="F129" s="7" t="str">
        <f>VLOOKUP($E129,'Приложение 4'!$B$2:$C$10,2,FALSE)</f>
        <v>т</v>
      </c>
      <c r="G129" s="45"/>
      <c r="H129" s="47"/>
      <c r="I129" s="41"/>
      <c r="J129" s="41"/>
    </row>
    <row r="130" spans="1:10" ht="30" hidden="1" outlineLevel="1" x14ac:dyDescent="0.25">
      <c r="A130" s="9" t="s">
        <v>518</v>
      </c>
      <c r="B130" s="22" t="s">
        <v>186</v>
      </c>
      <c r="C130" s="22" t="s">
        <v>335</v>
      </c>
      <c r="D130" s="5" t="s">
        <v>8</v>
      </c>
      <c r="E130" s="5" t="s">
        <v>15</v>
      </c>
      <c r="F130" s="7" t="str">
        <f>VLOOKUP($E130,'Приложение 4'!$B$2:$C$10,2,FALSE)</f>
        <v>т</v>
      </c>
      <c r="G130" s="45"/>
      <c r="H130" s="47"/>
      <c r="I130" s="41"/>
      <c r="J130" s="41"/>
    </row>
    <row r="131" spans="1:10" ht="30" hidden="1" outlineLevel="1" x14ac:dyDescent="0.25">
      <c r="A131" s="9" t="s">
        <v>519</v>
      </c>
      <c r="B131" s="22" t="s">
        <v>187</v>
      </c>
      <c r="C131" s="22" t="s">
        <v>336</v>
      </c>
      <c r="D131" s="5" t="s">
        <v>8</v>
      </c>
      <c r="E131" s="5" t="s">
        <v>15</v>
      </c>
      <c r="F131" s="7" t="str">
        <f>VLOOKUP($E131,'Приложение 4'!$B$2:$C$10,2,FALSE)</f>
        <v>т</v>
      </c>
      <c r="G131" s="45"/>
      <c r="H131" s="47"/>
      <c r="I131" s="41"/>
      <c r="J131" s="41"/>
    </row>
    <row r="132" spans="1:10" ht="30" hidden="1" outlineLevel="1" x14ac:dyDescent="0.25">
      <c r="A132" s="9" t="s">
        <v>520</v>
      </c>
      <c r="B132" s="22" t="s">
        <v>188</v>
      </c>
      <c r="C132" s="22" t="s">
        <v>337</v>
      </c>
      <c r="D132" s="5" t="s">
        <v>8</v>
      </c>
      <c r="E132" s="5" t="s">
        <v>15</v>
      </c>
      <c r="F132" s="7" t="str">
        <f>VLOOKUP($E132,'Приложение 4'!$B$2:$C$10,2,FALSE)</f>
        <v>т</v>
      </c>
      <c r="G132" s="45"/>
      <c r="H132" s="47"/>
      <c r="I132" s="41"/>
      <c r="J132" s="41"/>
    </row>
    <row r="133" spans="1:10" ht="30" hidden="1" outlineLevel="1" x14ac:dyDescent="0.25">
      <c r="A133" s="9" t="s">
        <v>521</v>
      </c>
      <c r="B133" s="22" t="s">
        <v>189</v>
      </c>
      <c r="C133" s="22" t="s">
        <v>338</v>
      </c>
      <c r="D133" s="5" t="s">
        <v>8</v>
      </c>
      <c r="E133" s="5" t="s">
        <v>15</v>
      </c>
      <c r="F133" s="7" t="str">
        <f>VLOOKUP($E133,'Приложение 4'!$B$2:$C$10,2,FALSE)</f>
        <v>т</v>
      </c>
      <c r="G133" s="45"/>
      <c r="H133" s="47"/>
      <c r="I133" s="41"/>
      <c r="J133" s="41"/>
    </row>
    <row r="134" spans="1:10" ht="30" hidden="1" outlineLevel="1" x14ac:dyDescent="0.25">
      <c r="A134" s="9" t="s">
        <v>522</v>
      </c>
      <c r="B134" s="22" t="s">
        <v>190</v>
      </c>
      <c r="C134" s="22" t="s">
        <v>339</v>
      </c>
      <c r="D134" s="5" t="s">
        <v>8</v>
      </c>
      <c r="E134" s="5" t="s">
        <v>15</v>
      </c>
      <c r="F134" s="7" t="str">
        <f>VLOOKUP($E134,'Приложение 4'!$B$2:$C$10,2,FALSE)</f>
        <v>т</v>
      </c>
      <c r="G134" s="45"/>
      <c r="H134" s="48"/>
      <c r="I134" s="42"/>
      <c r="J134" s="42"/>
    </row>
    <row r="135" spans="1:10" ht="30" hidden="1" outlineLevel="1" x14ac:dyDescent="0.25">
      <c r="A135" s="9" t="s">
        <v>523</v>
      </c>
      <c r="B135" s="22" t="s">
        <v>191</v>
      </c>
      <c r="C135" s="22" t="s">
        <v>340</v>
      </c>
      <c r="D135" s="5" t="s">
        <v>8</v>
      </c>
      <c r="E135" s="5" t="s">
        <v>15</v>
      </c>
      <c r="F135" s="7" t="str">
        <f>VLOOKUP($E135,'Приложение 4'!$B$2:$C$10,2,FALSE)</f>
        <v>т</v>
      </c>
      <c r="G135" s="7">
        <v>3</v>
      </c>
      <c r="H135" s="5"/>
      <c r="I135" s="30">
        <v>0</v>
      </c>
      <c r="J135" s="30">
        <f t="shared" ref="J135:J197" si="2">G135*I135</f>
        <v>0</v>
      </c>
    </row>
    <row r="136" spans="1:10" ht="45" hidden="1" outlineLevel="1" x14ac:dyDescent="0.25">
      <c r="A136" s="9" t="s">
        <v>524</v>
      </c>
      <c r="B136" s="22" t="s">
        <v>391</v>
      </c>
      <c r="C136" s="22" t="s">
        <v>384</v>
      </c>
      <c r="D136" s="5" t="s">
        <v>8</v>
      </c>
      <c r="E136" s="5" t="s">
        <v>15</v>
      </c>
      <c r="F136" s="7" t="str">
        <f>VLOOKUP($E136,'Приложение 4'!$B$2:$C$10,2,FALSE)</f>
        <v>т</v>
      </c>
      <c r="G136" s="7">
        <v>0</v>
      </c>
      <c r="H136" s="5"/>
      <c r="I136" s="30">
        <v>0</v>
      </c>
      <c r="J136" s="30">
        <f t="shared" si="2"/>
        <v>0</v>
      </c>
    </row>
    <row r="137" spans="1:10" ht="30" hidden="1" outlineLevel="1" x14ac:dyDescent="0.25">
      <c r="A137" s="9" t="s">
        <v>525</v>
      </c>
      <c r="B137" s="22" t="s">
        <v>192</v>
      </c>
      <c r="C137" s="22" t="s">
        <v>341</v>
      </c>
      <c r="D137" s="5" t="s">
        <v>8</v>
      </c>
      <c r="E137" s="5" t="s">
        <v>15</v>
      </c>
      <c r="F137" s="7" t="str">
        <f>VLOOKUP($E137,'Приложение 4'!$B$2:$C$10,2,FALSE)</f>
        <v>т</v>
      </c>
      <c r="G137" s="7">
        <v>1.5</v>
      </c>
      <c r="H137" s="5"/>
      <c r="I137" s="30">
        <v>0</v>
      </c>
      <c r="J137" s="30">
        <f t="shared" si="2"/>
        <v>0</v>
      </c>
    </row>
    <row r="138" spans="1:10" ht="30" hidden="1" outlineLevel="1" x14ac:dyDescent="0.25">
      <c r="A138" s="9" t="s">
        <v>526</v>
      </c>
      <c r="B138" s="22" t="s">
        <v>193</v>
      </c>
      <c r="C138" s="22" t="s">
        <v>342</v>
      </c>
      <c r="D138" s="5" t="s">
        <v>8</v>
      </c>
      <c r="E138" s="5" t="s">
        <v>15</v>
      </c>
      <c r="F138" s="7" t="str">
        <f>VLOOKUP($E138,'Приложение 4'!$B$2:$C$10,2,FALSE)</f>
        <v>т</v>
      </c>
      <c r="G138" s="7">
        <v>3</v>
      </c>
      <c r="H138" s="5"/>
      <c r="I138" s="30">
        <v>0</v>
      </c>
      <c r="J138" s="30">
        <f t="shared" si="2"/>
        <v>0</v>
      </c>
    </row>
    <row r="139" spans="1:10" ht="45" hidden="1" outlineLevel="1" x14ac:dyDescent="0.25">
      <c r="A139" s="9" t="s">
        <v>527</v>
      </c>
      <c r="B139" s="22" t="s">
        <v>390</v>
      </c>
      <c r="C139" s="22" t="s">
        <v>385</v>
      </c>
      <c r="D139" s="5" t="s">
        <v>8</v>
      </c>
      <c r="E139" s="5" t="s">
        <v>15</v>
      </c>
      <c r="F139" s="7" t="str">
        <f>VLOOKUP($E139,'Приложение 4'!$B$2:$C$10,2,FALSE)</f>
        <v>т</v>
      </c>
      <c r="G139" s="7">
        <v>0</v>
      </c>
      <c r="H139" s="5"/>
      <c r="I139" s="30">
        <v>0</v>
      </c>
      <c r="J139" s="30">
        <f t="shared" si="2"/>
        <v>0</v>
      </c>
    </row>
    <row r="140" spans="1:10" ht="30" hidden="1" outlineLevel="1" x14ac:dyDescent="0.25">
      <c r="A140" s="9" t="s">
        <v>528</v>
      </c>
      <c r="B140" s="22" t="s">
        <v>194</v>
      </c>
      <c r="C140" s="22" t="s">
        <v>343</v>
      </c>
      <c r="D140" s="5" t="s">
        <v>8</v>
      </c>
      <c r="E140" s="5" t="s">
        <v>15</v>
      </c>
      <c r="F140" s="7" t="str">
        <f>VLOOKUP($E140,'Приложение 4'!$B$2:$C$10,2,FALSE)</f>
        <v>т</v>
      </c>
      <c r="G140" s="7">
        <v>1.3</v>
      </c>
      <c r="H140" s="5"/>
      <c r="I140" s="30">
        <v>0</v>
      </c>
      <c r="J140" s="30">
        <f t="shared" si="2"/>
        <v>0</v>
      </c>
    </row>
    <row r="141" spans="1:10" ht="30" hidden="1" outlineLevel="1" x14ac:dyDescent="0.25">
      <c r="A141" s="9" t="s">
        <v>529</v>
      </c>
      <c r="B141" s="22" t="s">
        <v>195</v>
      </c>
      <c r="C141" s="22" t="s">
        <v>344</v>
      </c>
      <c r="D141" s="5" t="s">
        <v>8</v>
      </c>
      <c r="E141" s="5" t="s">
        <v>15</v>
      </c>
      <c r="F141" s="7" t="str">
        <f>VLOOKUP($E141,'Приложение 4'!$B$2:$C$10,2,FALSE)</f>
        <v>т</v>
      </c>
      <c r="G141" s="7">
        <v>5</v>
      </c>
      <c r="H141" s="5"/>
      <c r="I141" s="30">
        <v>0</v>
      </c>
      <c r="J141" s="30">
        <f t="shared" si="2"/>
        <v>0</v>
      </c>
    </row>
    <row r="142" spans="1:10" ht="30" hidden="1" outlineLevel="1" x14ac:dyDescent="0.25">
      <c r="A142" s="9" t="s">
        <v>530</v>
      </c>
      <c r="B142" s="22" t="s">
        <v>196</v>
      </c>
      <c r="C142" s="22" t="s">
        <v>345</v>
      </c>
      <c r="D142" s="5" t="s">
        <v>8</v>
      </c>
      <c r="E142" s="5" t="s">
        <v>15</v>
      </c>
      <c r="F142" s="7" t="str">
        <f>VLOOKUP($E142,'Приложение 4'!$B$2:$C$10,2,FALSE)</f>
        <v>т</v>
      </c>
      <c r="G142" s="7">
        <v>3.5</v>
      </c>
      <c r="H142" s="5"/>
      <c r="I142" s="30">
        <v>0</v>
      </c>
      <c r="J142" s="30">
        <f t="shared" si="2"/>
        <v>0</v>
      </c>
    </row>
    <row r="143" spans="1:10" ht="30" hidden="1" outlineLevel="1" x14ac:dyDescent="0.25">
      <c r="A143" s="9" t="s">
        <v>531</v>
      </c>
      <c r="B143" s="22" t="s">
        <v>197</v>
      </c>
      <c r="C143" s="22" t="s">
        <v>346</v>
      </c>
      <c r="D143" s="5" t="s">
        <v>8</v>
      </c>
      <c r="E143" s="5" t="s">
        <v>15</v>
      </c>
      <c r="F143" s="7" t="str">
        <f>VLOOKUP($E143,'Приложение 4'!$B$2:$C$10,2,FALSE)</f>
        <v>т</v>
      </c>
      <c r="G143" s="7">
        <v>0</v>
      </c>
      <c r="H143" s="5"/>
      <c r="I143" s="30">
        <v>0</v>
      </c>
      <c r="J143" s="30">
        <f t="shared" si="2"/>
        <v>0</v>
      </c>
    </row>
    <row r="144" spans="1:10" ht="30" hidden="1" outlineLevel="1" x14ac:dyDescent="0.25">
      <c r="A144" s="9" t="s">
        <v>532</v>
      </c>
      <c r="B144" s="22" t="s">
        <v>198</v>
      </c>
      <c r="C144" s="22" t="s">
        <v>347</v>
      </c>
      <c r="D144" s="5" t="s">
        <v>8</v>
      </c>
      <c r="E144" s="5" t="s">
        <v>15</v>
      </c>
      <c r="F144" s="7" t="str">
        <f>VLOOKUP($E144,'Приложение 4'!$B$2:$C$10,2,FALSE)</f>
        <v>т</v>
      </c>
      <c r="G144" s="7">
        <v>0.1</v>
      </c>
      <c r="H144" s="5"/>
      <c r="I144" s="30">
        <v>0</v>
      </c>
      <c r="J144" s="30">
        <f t="shared" si="2"/>
        <v>0</v>
      </c>
    </row>
    <row r="145" spans="1:10" ht="30" hidden="1" outlineLevel="1" x14ac:dyDescent="0.25">
      <c r="A145" s="9" t="s">
        <v>533</v>
      </c>
      <c r="B145" s="22" t="s">
        <v>199</v>
      </c>
      <c r="C145" s="22" t="s">
        <v>348</v>
      </c>
      <c r="D145" s="5" t="s">
        <v>8</v>
      </c>
      <c r="E145" s="5" t="s">
        <v>15</v>
      </c>
      <c r="F145" s="7" t="str">
        <f>VLOOKUP($E145,'Приложение 4'!$B$2:$C$10,2,FALSE)</f>
        <v>т</v>
      </c>
      <c r="G145" s="7">
        <v>0.2</v>
      </c>
      <c r="H145" s="5"/>
      <c r="I145" s="30">
        <v>0</v>
      </c>
      <c r="J145" s="30">
        <f t="shared" si="2"/>
        <v>0</v>
      </c>
    </row>
    <row r="146" spans="1:10" ht="30" hidden="1" outlineLevel="1" x14ac:dyDescent="0.25">
      <c r="A146" s="9" t="s">
        <v>534</v>
      </c>
      <c r="B146" s="22" t="s">
        <v>200</v>
      </c>
      <c r="C146" s="22" t="s">
        <v>349</v>
      </c>
      <c r="D146" s="5" t="s">
        <v>8</v>
      </c>
      <c r="E146" s="5" t="s">
        <v>15</v>
      </c>
      <c r="F146" s="7" t="str">
        <f>VLOOKUP($E146,'Приложение 4'!$B$2:$C$10,2,FALSE)</f>
        <v>т</v>
      </c>
      <c r="G146" s="7">
        <v>0</v>
      </c>
      <c r="H146" s="5"/>
      <c r="I146" s="30">
        <v>0</v>
      </c>
      <c r="J146" s="30">
        <f t="shared" si="2"/>
        <v>0</v>
      </c>
    </row>
    <row r="147" spans="1:10" ht="30" hidden="1" outlineLevel="1" x14ac:dyDescent="0.25">
      <c r="A147" s="9" t="s">
        <v>535</v>
      </c>
      <c r="B147" s="22" t="s">
        <v>201</v>
      </c>
      <c r="C147" s="22" t="s">
        <v>350</v>
      </c>
      <c r="D147" s="5" t="s">
        <v>8</v>
      </c>
      <c r="E147" s="5" t="s">
        <v>15</v>
      </c>
      <c r="F147" s="7" t="str">
        <f>VLOOKUP($E147,'Приложение 4'!$B$2:$C$10,2,FALSE)</f>
        <v>т</v>
      </c>
      <c r="G147" s="7">
        <v>0.1</v>
      </c>
      <c r="H147" s="5"/>
      <c r="I147" s="30">
        <v>0</v>
      </c>
      <c r="J147" s="30">
        <f t="shared" si="2"/>
        <v>0</v>
      </c>
    </row>
    <row r="148" spans="1:10" ht="30" hidden="1" outlineLevel="1" x14ac:dyDescent="0.25">
      <c r="A148" s="9" t="s">
        <v>536</v>
      </c>
      <c r="B148" s="22" t="s">
        <v>202</v>
      </c>
      <c r="C148" s="22" t="s">
        <v>351</v>
      </c>
      <c r="D148" s="5" t="s">
        <v>8</v>
      </c>
      <c r="E148" s="5" t="s">
        <v>15</v>
      </c>
      <c r="F148" s="7" t="str">
        <f>VLOOKUP($E148,'Приложение 4'!$B$2:$C$10,2,FALSE)</f>
        <v>т</v>
      </c>
      <c r="G148" s="7">
        <v>5</v>
      </c>
      <c r="H148" s="5"/>
      <c r="I148" s="30">
        <v>0</v>
      </c>
      <c r="J148" s="30">
        <f t="shared" si="2"/>
        <v>0</v>
      </c>
    </row>
    <row r="149" spans="1:10" ht="30" hidden="1" outlineLevel="1" x14ac:dyDescent="0.25">
      <c r="A149" s="9" t="s">
        <v>537</v>
      </c>
      <c r="B149" s="22" t="s">
        <v>203</v>
      </c>
      <c r="C149" s="22" t="s">
        <v>352</v>
      </c>
      <c r="D149" s="5" t="s">
        <v>8</v>
      </c>
      <c r="E149" s="5" t="s">
        <v>15</v>
      </c>
      <c r="F149" s="7" t="str">
        <f>VLOOKUP($E149,'Приложение 4'!$B$2:$C$10,2,FALSE)</f>
        <v>т</v>
      </c>
      <c r="G149" s="7">
        <v>3.5</v>
      </c>
      <c r="H149" s="5"/>
      <c r="I149" s="30">
        <v>0</v>
      </c>
      <c r="J149" s="30">
        <f t="shared" si="2"/>
        <v>0</v>
      </c>
    </row>
    <row r="150" spans="1:10" ht="30" hidden="1" outlineLevel="1" x14ac:dyDescent="0.25">
      <c r="A150" s="9" t="s">
        <v>538</v>
      </c>
      <c r="B150" s="22" t="s">
        <v>204</v>
      </c>
      <c r="C150" s="22" t="s">
        <v>353</v>
      </c>
      <c r="D150" s="5" t="s">
        <v>8</v>
      </c>
      <c r="E150" s="5" t="s">
        <v>15</v>
      </c>
      <c r="F150" s="7" t="str">
        <f>VLOOKUP($E150,'Приложение 4'!$B$2:$C$10,2,FALSE)</f>
        <v>т</v>
      </c>
      <c r="G150" s="7">
        <v>0</v>
      </c>
      <c r="H150" s="5"/>
      <c r="I150" s="30">
        <v>0</v>
      </c>
      <c r="J150" s="30">
        <f t="shared" si="2"/>
        <v>0</v>
      </c>
    </row>
    <row r="151" spans="1:10" ht="30" hidden="1" outlineLevel="1" x14ac:dyDescent="0.25">
      <c r="A151" s="9" t="s">
        <v>539</v>
      </c>
      <c r="B151" s="22" t="s">
        <v>205</v>
      </c>
      <c r="C151" s="22" t="s">
        <v>354</v>
      </c>
      <c r="D151" s="5" t="s">
        <v>8</v>
      </c>
      <c r="E151" s="5" t="s">
        <v>15</v>
      </c>
      <c r="F151" s="7" t="str">
        <f>VLOOKUP($E151,'Приложение 4'!$B$2:$C$10,2,FALSE)</f>
        <v>т</v>
      </c>
      <c r="G151" s="7">
        <v>0.1</v>
      </c>
      <c r="H151" s="5"/>
      <c r="I151" s="30">
        <v>0</v>
      </c>
      <c r="J151" s="30">
        <f t="shared" si="2"/>
        <v>0</v>
      </c>
    </row>
    <row r="152" spans="1:10" ht="30" hidden="1" outlineLevel="1" x14ac:dyDescent="0.25">
      <c r="A152" s="9" t="s">
        <v>540</v>
      </c>
      <c r="B152" s="22" t="s">
        <v>206</v>
      </c>
      <c r="C152" s="22" t="s">
        <v>355</v>
      </c>
      <c r="D152" s="5" t="s">
        <v>8</v>
      </c>
      <c r="E152" s="5" t="s">
        <v>15</v>
      </c>
      <c r="F152" s="7" t="str">
        <f>VLOOKUP($E152,'Приложение 4'!$B$2:$C$10,2,FALSE)</f>
        <v>т</v>
      </c>
      <c r="G152" s="7">
        <v>0.2</v>
      </c>
      <c r="H152" s="5"/>
      <c r="I152" s="30">
        <v>0</v>
      </c>
      <c r="J152" s="30">
        <f t="shared" si="2"/>
        <v>0</v>
      </c>
    </row>
    <row r="153" spans="1:10" ht="30" hidden="1" outlineLevel="1" x14ac:dyDescent="0.25">
      <c r="A153" s="9" t="s">
        <v>541</v>
      </c>
      <c r="B153" s="22" t="s">
        <v>207</v>
      </c>
      <c r="C153" s="22" t="s">
        <v>356</v>
      </c>
      <c r="D153" s="5" t="s">
        <v>8</v>
      </c>
      <c r="E153" s="5" t="s">
        <v>15</v>
      </c>
      <c r="F153" s="7" t="str">
        <f>VLOOKUP($E153,'Приложение 4'!$B$2:$C$10,2,FALSE)</f>
        <v>т</v>
      </c>
      <c r="G153" s="7">
        <v>0</v>
      </c>
      <c r="H153" s="5"/>
      <c r="I153" s="30">
        <v>0</v>
      </c>
      <c r="J153" s="30">
        <f t="shared" si="2"/>
        <v>0</v>
      </c>
    </row>
    <row r="154" spans="1:10" ht="30" hidden="1" outlineLevel="1" x14ac:dyDescent="0.25">
      <c r="A154" s="9" t="s">
        <v>542</v>
      </c>
      <c r="B154" s="22" t="s">
        <v>208</v>
      </c>
      <c r="C154" s="22" t="s">
        <v>357</v>
      </c>
      <c r="D154" s="5" t="s">
        <v>8</v>
      </c>
      <c r="E154" s="5" t="s">
        <v>15</v>
      </c>
      <c r="F154" s="7" t="str">
        <f>VLOOKUP($E154,'Приложение 4'!$B$2:$C$10,2,FALSE)</f>
        <v>т</v>
      </c>
      <c r="G154" s="7">
        <v>0.1</v>
      </c>
      <c r="H154" s="5"/>
      <c r="I154" s="30">
        <v>0</v>
      </c>
      <c r="J154" s="30">
        <f t="shared" si="2"/>
        <v>0</v>
      </c>
    </row>
    <row r="155" spans="1:10" ht="15" hidden="1" customHeight="1" outlineLevel="1" x14ac:dyDescent="0.25">
      <c r="A155" s="9" t="s">
        <v>543</v>
      </c>
      <c r="B155" s="22" t="s">
        <v>209</v>
      </c>
      <c r="C155" s="22" t="s">
        <v>358</v>
      </c>
      <c r="D155" s="5" t="s">
        <v>8</v>
      </c>
      <c r="E155" s="5" t="s">
        <v>15</v>
      </c>
      <c r="F155" s="7" t="str">
        <f>VLOOKUP($E155,'Приложение 4'!$B$2:$C$10,2,FALSE)</f>
        <v>т</v>
      </c>
      <c r="G155" s="45">
        <v>16</v>
      </c>
      <c r="H155" s="46"/>
      <c r="I155" s="40">
        <v>0</v>
      </c>
      <c r="J155" s="40">
        <f t="shared" si="2"/>
        <v>0</v>
      </c>
    </row>
    <row r="156" spans="1:10" ht="30" hidden="1" outlineLevel="1" x14ac:dyDescent="0.25">
      <c r="A156" s="9" t="s">
        <v>544</v>
      </c>
      <c r="B156" s="22" t="s">
        <v>210</v>
      </c>
      <c r="C156" s="22" t="s">
        <v>359</v>
      </c>
      <c r="D156" s="5" t="s">
        <v>8</v>
      </c>
      <c r="E156" s="5" t="s">
        <v>15</v>
      </c>
      <c r="F156" s="7" t="str">
        <f>VLOOKUP($E156,'Приложение 4'!$B$2:$C$10,2,FALSE)</f>
        <v>т</v>
      </c>
      <c r="G156" s="45"/>
      <c r="H156" s="47"/>
      <c r="I156" s="41"/>
      <c r="J156" s="41"/>
    </row>
    <row r="157" spans="1:10" ht="30" hidden="1" outlineLevel="1" x14ac:dyDescent="0.25">
      <c r="A157" s="9" t="s">
        <v>545</v>
      </c>
      <c r="B157" s="22" t="s">
        <v>211</v>
      </c>
      <c r="C157" s="22" t="s">
        <v>360</v>
      </c>
      <c r="D157" s="5" t="s">
        <v>8</v>
      </c>
      <c r="E157" s="5" t="s">
        <v>15</v>
      </c>
      <c r="F157" s="7" t="str">
        <f>VLOOKUP($E157,'Приложение 4'!$B$2:$C$10,2,FALSE)</f>
        <v>т</v>
      </c>
      <c r="G157" s="45"/>
      <c r="H157" s="47"/>
      <c r="I157" s="41"/>
      <c r="J157" s="41"/>
    </row>
    <row r="158" spans="1:10" ht="30" hidden="1" outlineLevel="1" x14ac:dyDescent="0.25">
      <c r="A158" s="9" t="s">
        <v>546</v>
      </c>
      <c r="B158" s="22" t="s">
        <v>212</v>
      </c>
      <c r="C158" s="22" t="s">
        <v>361</v>
      </c>
      <c r="D158" s="5" t="s">
        <v>8</v>
      </c>
      <c r="E158" s="5" t="s">
        <v>15</v>
      </c>
      <c r="F158" s="7" t="str">
        <f>VLOOKUP($E158,'Приложение 4'!$B$2:$C$10,2,FALSE)</f>
        <v>т</v>
      </c>
      <c r="G158" s="45"/>
      <c r="H158" s="47"/>
      <c r="I158" s="41"/>
      <c r="J158" s="41"/>
    </row>
    <row r="159" spans="1:10" ht="30" hidden="1" outlineLevel="1" x14ac:dyDescent="0.25">
      <c r="A159" s="9" t="s">
        <v>547</v>
      </c>
      <c r="B159" s="22" t="s">
        <v>213</v>
      </c>
      <c r="C159" s="22" t="s">
        <v>362</v>
      </c>
      <c r="D159" s="5" t="s">
        <v>8</v>
      </c>
      <c r="E159" s="5" t="s">
        <v>15</v>
      </c>
      <c r="F159" s="7" t="str">
        <f>VLOOKUP($E159,'Приложение 4'!$B$2:$C$10,2,FALSE)</f>
        <v>т</v>
      </c>
      <c r="G159" s="45"/>
      <c r="H159" s="47"/>
      <c r="I159" s="41"/>
      <c r="J159" s="41"/>
    </row>
    <row r="160" spans="1:10" ht="30" hidden="1" outlineLevel="1" x14ac:dyDescent="0.25">
      <c r="A160" s="17" t="s">
        <v>548</v>
      </c>
      <c r="B160" s="23" t="s">
        <v>214</v>
      </c>
      <c r="C160" s="23" t="s">
        <v>363</v>
      </c>
      <c r="D160" s="5" t="s">
        <v>8</v>
      </c>
      <c r="E160" s="5" t="s">
        <v>15</v>
      </c>
      <c r="F160" s="7" t="str">
        <f>VLOOKUP($E160,'Приложение 4'!$B$2:$C$10,2,FALSE)</f>
        <v>т</v>
      </c>
      <c r="G160" s="45"/>
      <c r="H160" s="47"/>
      <c r="I160" s="41"/>
      <c r="J160" s="41"/>
    </row>
    <row r="161" spans="1:10" ht="30" hidden="1" outlineLevel="1" x14ac:dyDescent="0.25">
      <c r="A161" s="17" t="s">
        <v>549</v>
      </c>
      <c r="B161" s="23" t="s">
        <v>215</v>
      </c>
      <c r="C161" s="23" t="s">
        <v>364</v>
      </c>
      <c r="D161" s="5" t="s">
        <v>8</v>
      </c>
      <c r="E161" s="5" t="s">
        <v>15</v>
      </c>
      <c r="F161" s="7" t="str">
        <f>VLOOKUP($E161,'Приложение 4'!$B$2:$C$10,2,FALSE)</f>
        <v>т</v>
      </c>
      <c r="G161" s="45"/>
      <c r="H161" s="47"/>
      <c r="I161" s="41"/>
      <c r="J161" s="41"/>
    </row>
    <row r="162" spans="1:10" ht="30" hidden="1" outlineLevel="1" x14ac:dyDescent="0.25">
      <c r="A162" s="9" t="s">
        <v>550</v>
      </c>
      <c r="B162" s="22" t="s">
        <v>216</v>
      </c>
      <c r="C162" s="22" t="s">
        <v>365</v>
      </c>
      <c r="D162" s="5" t="s">
        <v>8</v>
      </c>
      <c r="E162" s="5" t="s">
        <v>15</v>
      </c>
      <c r="F162" s="7" t="str">
        <f>VLOOKUP($E162,'Приложение 4'!$B$2:$C$10,2,FALSE)</f>
        <v>т</v>
      </c>
      <c r="G162" s="45"/>
      <c r="H162" s="47"/>
      <c r="I162" s="41"/>
      <c r="J162" s="41"/>
    </row>
    <row r="163" spans="1:10" ht="30" hidden="1" outlineLevel="1" x14ac:dyDescent="0.25">
      <c r="A163" s="9" t="s">
        <v>551</v>
      </c>
      <c r="B163" s="22" t="s">
        <v>217</v>
      </c>
      <c r="C163" s="22" t="s">
        <v>366</v>
      </c>
      <c r="D163" s="5" t="s">
        <v>8</v>
      </c>
      <c r="E163" s="5" t="s">
        <v>15</v>
      </c>
      <c r="F163" s="7" t="str">
        <f>VLOOKUP($E163,'Приложение 4'!$B$2:$C$10,2,FALSE)</f>
        <v>т</v>
      </c>
      <c r="G163" s="45"/>
      <c r="H163" s="47"/>
      <c r="I163" s="41"/>
      <c r="J163" s="41"/>
    </row>
    <row r="164" spans="1:10" ht="30" hidden="1" outlineLevel="1" x14ac:dyDescent="0.25">
      <c r="A164" s="9" t="s">
        <v>552</v>
      </c>
      <c r="B164" s="22" t="s">
        <v>218</v>
      </c>
      <c r="C164" s="22" t="s">
        <v>367</v>
      </c>
      <c r="D164" s="5" t="s">
        <v>8</v>
      </c>
      <c r="E164" s="5" t="s">
        <v>15</v>
      </c>
      <c r="F164" s="7" t="str">
        <f>VLOOKUP($E164,'Приложение 4'!$B$2:$C$10,2,FALSE)</f>
        <v>т</v>
      </c>
      <c r="G164" s="45"/>
      <c r="H164" s="47"/>
      <c r="I164" s="41"/>
      <c r="J164" s="41"/>
    </row>
    <row r="165" spans="1:10" ht="30" hidden="1" outlineLevel="1" x14ac:dyDescent="0.25">
      <c r="A165" s="9" t="s">
        <v>553</v>
      </c>
      <c r="B165" s="22" t="s">
        <v>219</v>
      </c>
      <c r="C165" s="22" t="s">
        <v>368</v>
      </c>
      <c r="D165" s="5" t="s">
        <v>8</v>
      </c>
      <c r="E165" s="5" t="s">
        <v>15</v>
      </c>
      <c r="F165" s="7" t="str">
        <f>VLOOKUP($E165,'Приложение 4'!$B$2:$C$10,2,FALSE)</f>
        <v>т</v>
      </c>
      <c r="G165" s="45"/>
      <c r="H165" s="47"/>
      <c r="I165" s="41"/>
      <c r="J165" s="41"/>
    </row>
    <row r="166" spans="1:10" ht="30" hidden="1" outlineLevel="1" x14ac:dyDescent="0.25">
      <c r="A166" s="9" t="s">
        <v>554</v>
      </c>
      <c r="B166" s="22" t="s">
        <v>220</v>
      </c>
      <c r="C166" s="22" t="s">
        <v>369</v>
      </c>
      <c r="D166" s="5" t="s">
        <v>8</v>
      </c>
      <c r="E166" s="5" t="s">
        <v>15</v>
      </c>
      <c r="F166" s="7" t="str">
        <f>VLOOKUP($E166,'Приложение 4'!$B$2:$C$10,2,FALSE)</f>
        <v>т</v>
      </c>
      <c r="G166" s="45"/>
      <c r="H166" s="47"/>
      <c r="I166" s="41"/>
      <c r="J166" s="41"/>
    </row>
    <row r="167" spans="1:10" ht="30" hidden="1" outlineLevel="1" x14ac:dyDescent="0.25">
      <c r="A167" s="9" t="s">
        <v>555</v>
      </c>
      <c r="B167" s="22" t="s">
        <v>221</v>
      </c>
      <c r="C167" s="22" t="s">
        <v>370</v>
      </c>
      <c r="D167" s="5" t="s">
        <v>8</v>
      </c>
      <c r="E167" s="5" t="s">
        <v>15</v>
      </c>
      <c r="F167" s="7" t="str">
        <f>VLOOKUP($E167,'Приложение 4'!$B$2:$C$10,2,FALSE)</f>
        <v>т</v>
      </c>
      <c r="G167" s="45"/>
      <c r="H167" s="48"/>
      <c r="I167" s="42"/>
      <c r="J167" s="42"/>
    </row>
    <row r="168" spans="1:10" ht="15" hidden="1" customHeight="1" outlineLevel="1" x14ac:dyDescent="0.25">
      <c r="A168" s="9" t="s">
        <v>556</v>
      </c>
      <c r="B168" s="22" t="s">
        <v>222</v>
      </c>
      <c r="C168" s="22" t="s">
        <v>383</v>
      </c>
      <c r="D168" s="36" t="s">
        <v>8</v>
      </c>
      <c r="E168" s="36" t="s">
        <v>15</v>
      </c>
      <c r="F168" s="7" t="str">
        <f>VLOOKUP($E168,'Приложение 4'!$B$2:$C$10,2,FALSE)</f>
        <v>т</v>
      </c>
      <c r="G168" s="45">
        <v>16</v>
      </c>
      <c r="H168" s="46"/>
      <c r="I168" s="40">
        <v>0</v>
      </c>
      <c r="J168" s="40">
        <f t="shared" si="2"/>
        <v>0</v>
      </c>
    </row>
    <row r="169" spans="1:10" ht="30" hidden="1" outlineLevel="1" x14ac:dyDescent="0.25">
      <c r="A169" s="9" t="s">
        <v>557</v>
      </c>
      <c r="B169" s="22" t="s">
        <v>223</v>
      </c>
      <c r="C169" s="22" t="s">
        <v>371</v>
      </c>
      <c r="D169" s="36" t="s">
        <v>8</v>
      </c>
      <c r="E169" s="36" t="s">
        <v>15</v>
      </c>
      <c r="F169" s="7" t="str">
        <f>VLOOKUP($E169,'Приложение 4'!$B$2:$C$10,2,FALSE)</f>
        <v>т</v>
      </c>
      <c r="G169" s="45"/>
      <c r="H169" s="47"/>
      <c r="I169" s="41"/>
      <c r="J169" s="41"/>
    </row>
    <row r="170" spans="1:10" ht="30" hidden="1" outlineLevel="1" x14ac:dyDescent="0.25">
      <c r="A170" s="9" t="s">
        <v>558</v>
      </c>
      <c r="B170" s="22" t="s">
        <v>224</v>
      </c>
      <c r="C170" s="22" t="s">
        <v>372</v>
      </c>
      <c r="D170" s="36" t="s">
        <v>8</v>
      </c>
      <c r="E170" s="36" t="s">
        <v>15</v>
      </c>
      <c r="F170" s="7" t="str">
        <f>VLOOKUP($E170,'Приложение 4'!$B$2:$C$10,2,FALSE)</f>
        <v>т</v>
      </c>
      <c r="G170" s="45"/>
      <c r="H170" s="47"/>
      <c r="I170" s="41"/>
      <c r="J170" s="41"/>
    </row>
    <row r="171" spans="1:10" ht="30" hidden="1" outlineLevel="1" x14ac:dyDescent="0.25">
      <c r="A171" s="9" t="s">
        <v>559</v>
      </c>
      <c r="B171" s="22" t="s">
        <v>225</v>
      </c>
      <c r="C171" s="22" t="s">
        <v>373</v>
      </c>
      <c r="D171" s="36" t="s">
        <v>8</v>
      </c>
      <c r="E171" s="36" t="s">
        <v>15</v>
      </c>
      <c r="F171" s="7" t="str">
        <f>VLOOKUP($E171,'Приложение 4'!$B$2:$C$10,2,FALSE)</f>
        <v>т</v>
      </c>
      <c r="G171" s="45"/>
      <c r="H171" s="47"/>
      <c r="I171" s="41"/>
      <c r="J171" s="41"/>
    </row>
    <row r="172" spans="1:10" ht="30" hidden="1" outlineLevel="1" x14ac:dyDescent="0.25">
      <c r="A172" s="9" t="s">
        <v>560</v>
      </c>
      <c r="B172" s="22" t="s">
        <v>226</v>
      </c>
      <c r="C172" s="22" t="s">
        <v>374</v>
      </c>
      <c r="D172" s="36" t="s">
        <v>8</v>
      </c>
      <c r="E172" s="36" t="s">
        <v>15</v>
      </c>
      <c r="F172" s="7" t="str">
        <f>VLOOKUP($E172,'Приложение 4'!$B$2:$C$10,2,FALSE)</f>
        <v>т</v>
      </c>
      <c r="G172" s="45"/>
      <c r="H172" s="47"/>
      <c r="I172" s="41"/>
      <c r="J172" s="41"/>
    </row>
    <row r="173" spans="1:10" ht="30" hidden="1" outlineLevel="1" x14ac:dyDescent="0.25">
      <c r="A173" s="17" t="s">
        <v>561</v>
      </c>
      <c r="B173" s="23" t="s">
        <v>227</v>
      </c>
      <c r="C173" s="23" t="s">
        <v>375</v>
      </c>
      <c r="D173" s="36" t="s">
        <v>8</v>
      </c>
      <c r="E173" s="36" t="s">
        <v>15</v>
      </c>
      <c r="F173" s="7" t="str">
        <f>VLOOKUP($E173,'Приложение 4'!$B$2:$C$10,2,FALSE)</f>
        <v>т</v>
      </c>
      <c r="G173" s="45"/>
      <c r="H173" s="47"/>
      <c r="I173" s="41"/>
      <c r="J173" s="41"/>
    </row>
    <row r="174" spans="1:10" ht="30" hidden="1" outlineLevel="1" x14ac:dyDescent="0.25">
      <c r="A174" s="17" t="s">
        <v>562</v>
      </c>
      <c r="B174" s="23" t="s">
        <v>228</v>
      </c>
      <c r="C174" s="23" t="s">
        <v>376</v>
      </c>
      <c r="D174" s="36" t="s">
        <v>8</v>
      </c>
      <c r="E174" s="36" t="s">
        <v>15</v>
      </c>
      <c r="F174" s="7" t="str">
        <f>VLOOKUP($E174,'Приложение 4'!$B$2:$C$10,2,FALSE)</f>
        <v>т</v>
      </c>
      <c r="G174" s="45"/>
      <c r="H174" s="47"/>
      <c r="I174" s="41"/>
      <c r="J174" s="41"/>
    </row>
    <row r="175" spans="1:10" ht="30" hidden="1" outlineLevel="1" x14ac:dyDescent="0.25">
      <c r="A175" s="9" t="s">
        <v>563</v>
      </c>
      <c r="B175" s="22" t="s">
        <v>229</v>
      </c>
      <c r="C175" s="22" t="s">
        <v>377</v>
      </c>
      <c r="D175" s="36" t="s">
        <v>8</v>
      </c>
      <c r="E175" s="36" t="s">
        <v>15</v>
      </c>
      <c r="F175" s="7" t="str">
        <f>VLOOKUP($E175,'Приложение 4'!$B$2:$C$10,2,FALSE)</f>
        <v>т</v>
      </c>
      <c r="G175" s="45"/>
      <c r="H175" s="47"/>
      <c r="I175" s="41"/>
      <c r="J175" s="41"/>
    </row>
    <row r="176" spans="1:10" ht="30" hidden="1" outlineLevel="1" x14ac:dyDescent="0.25">
      <c r="A176" s="9" t="s">
        <v>564</v>
      </c>
      <c r="B176" s="22" t="s">
        <v>230</v>
      </c>
      <c r="C176" s="22" t="s">
        <v>378</v>
      </c>
      <c r="D176" s="36" t="s">
        <v>8</v>
      </c>
      <c r="E176" s="36" t="s">
        <v>15</v>
      </c>
      <c r="F176" s="7" t="str">
        <f>VLOOKUP($E176,'Приложение 4'!$B$2:$C$10,2,FALSE)</f>
        <v>т</v>
      </c>
      <c r="G176" s="45"/>
      <c r="H176" s="47"/>
      <c r="I176" s="41"/>
      <c r="J176" s="41"/>
    </row>
    <row r="177" spans="1:10" ht="30" hidden="1" outlineLevel="1" x14ac:dyDescent="0.25">
      <c r="A177" s="9" t="s">
        <v>565</v>
      </c>
      <c r="B177" s="22" t="s">
        <v>231</v>
      </c>
      <c r="C177" s="22" t="s">
        <v>379</v>
      </c>
      <c r="D177" s="36" t="s">
        <v>8</v>
      </c>
      <c r="E177" s="36" t="s">
        <v>15</v>
      </c>
      <c r="F177" s="7" t="str">
        <f>VLOOKUP($E177,'Приложение 4'!$B$2:$C$10,2,FALSE)</f>
        <v>т</v>
      </c>
      <c r="G177" s="45"/>
      <c r="H177" s="47"/>
      <c r="I177" s="41"/>
      <c r="J177" s="41"/>
    </row>
    <row r="178" spans="1:10" ht="30" hidden="1" outlineLevel="1" x14ac:dyDescent="0.25">
      <c r="A178" s="9" t="s">
        <v>566</v>
      </c>
      <c r="B178" s="22" t="s">
        <v>232</v>
      </c>
      <c r="C178" s="22" t="s">
        <v>380</v>
      </c>
      <c r="D178" s="36" t="s">
        <v>8</v>
      </c>
      <c r="E178" s="36" t="s">
        <v>15</v>
      </c>
      <c r="F178" s="7" t="str">
        <f>VLOOKUP($E178,'Приложение 4'!$B$2:$C$10,2,FALSE)</f>
        <v>т</v>
      </c>
      <c r="G178" s="45"/>
      <c r="H178" s="47"/>
      <c r="I178" s="41"/>
      <c r="J178" s="41"/>
    </row>
    <row r="179" spans="1:10" ht="30" hidden="1" outlineLevel="1" x14ac:dyDescent="0.25">
      <c r="A179" s="9" t="s">
        <v>567</v>
      </c>
      <c r="B179" s="22" t="s">
        <v>233</v>
      </c>
      <c r="C179" s="22" t="s">
        <v>381</v>
      </c>
      <c r="D179" s="36" t="s">
        <v>8</v>
      </c>
      <c r="E179" s="36" t="s">
        <v>15</v>
      </c>
      <c r="F179" s="7" t="str">
        <f>VLOOKUP($E179,'Приложение 4'!$B$2:$C$10,2,FALSE)</f>
        <v>т</v>
      </c>
      <c r="G179" s="45"/>
      <c r="H179" s="47"/>
      <c r="I179" s="41"/>
      <c r="J179" s="41"/>
    </row>
    <row r="180" spans="1:10" ht="30" hidden="1" outlineLevel="1" x14ac:dyDescent="0.25">
      <c r="A180" s="9" t="s">
        <v>568</v>
      </c>
      <c r="B180" s="22" t="s">
        <v>234</v>
      </c>
      <c r="C180" s="22" t="s">
        <v>382</v>
      </c>
      <c r="D180" s="36" t="s">
        <v>8</v>
      </c>
      <c r="E180" s="36" t="s">
        <v>15</v>
      </c>
      <c r="F180" s="7" t="str">
        <f>VLOOKUP($E180,'Приложение 4'!$B$2:$C$10,2,FALSE)</f>
        <v>т</v>
      </c>
      <c r="G180" s="45"/>
      <c r="H180" s="48"/>
      <c r="I180" s="42"/>
      <c r="J180" s="42"/>
    </row>
    <row r="181" spans="1:10" ht="18.75" collapsed="1" x14ac:dyDescent="0.25">
      <c r="A181" s="10" t="s">
        <v>569</v>
      </c>
      <c r="B181" s="38" t="s">
        <v>656</v>
      </c>
      <c r="C181" s="38"/>
      <c r="D181" s="37"/>
      <c r="E181" s="37"/>
      <c r="F181" s="10" t="s">
        <v>10</v>
      </c>
      <c r="G181" s="10">
        <f>SUM(G182:G200)</f>
        <v>11.3</v>
      </c>
      <c r="H181" s="10"/>
      <c r="I181" s="29"/>
      <c r="J181" s="29">
        <f>SUM(J182:J200)</f>
        <v>0</v>
      </c>
    </row>
    <row r="182" spans="1:10" ht="45" hidden="1" outlineLevel="1" x14ac:dyDescent="0.25">
      <c r="A182" s="9" t="s">
        <v>571</v>
      </c>
      <c r="B182" s="22"/>
      <c r="C182" s="22" t="s">
        <v>846</v>
      </c>
      <c r="D182" s="5" t="s">
        <v>8</v>
      </c>
      <c r="E182" s="5" t="s">
        <v>26</v>
      </c>
      <c r="F182" s="7" t="str">
        <f>VLOOKUP($E182,'Приложение 4'!$B$2:$C$10,2,FALSE)</f>
        <v>т</v>
      </c>
      <c r="G182" s="5">
        <v>0.3</v>
      </c>
      <c r="H182" s="5"/>
      <c r="I182" s="30">
        <v>0</v>
      </c>
      <c r="J182" s="30">
        <f t="shared" si="2"/>
        <v>0</v>
      </c>
    </row>
    <row r="183" spans="1:10" ht="30" hidden="1" outlineLevel="1" x14ac:dyDescent="0.25">
      <c r="A183" s="9" t="s">
        <v>581</v>
      </c>
      <c r="B183" s="22"/>
      <c r="C183" s="22" t="s">
        <v>843</v>
      </c>
      <c r="D183" s="5" t="s">
        <v>8</v>
      </c>
      <c r="E183" s="5" t="s">
        <v>26</v>
      </c>
      <c r="F183" s="7" t="str">
        <f>VLOOKUP($E183,'Приложение 4'!$B$2:$C$10,2,FALSE)</f>
        <v>т</v>
      </c>
      <c r="G183" s="5">
        <v>0.2</v>
      </c>
      <c r="H183" s="5"/>
      <c r="I183" s="30">
        <v>0</v>
      </c>
      <c r="J183" s="30">
        <f t="shared" si="2"/>
        <v>0</v>
      </c>
    </row>
    <row r="184" spans="1:10" hidden="1" outlineLevel="1" x14ac:dyDescent="0.25">
      <c r="A184" s="9" t="s">
        <v>582</v>
      </c>
      <c r="B184" s="22"/>
      <c r="C184" s="22" t="s">
        <v>844</v>
      </c>
      <c r="D184" s="5" t="s">
        <v>8</v>
      </c>
      <c r="E184" s="5" t="s">
        <v>26</v>
      </c>
      <c r="F184" s="7" t="str">
        <f>VLOOKUP($E184,'Приложение 4'!$B$2:$C$10,2,FALSE)</f>
        <v>т</v>
      </c>
      <c r="G184" s="5">
        <v>5.4</v>
      </c>
      <c r="H184" s="5"/>
      <c r="I184" s="30">
        <v>0</v>
      </c>
      <c r="J184" s="30">
        <f t="shared" si="2"/>
        <v>0</v>
      </c>
    </row>
    <row r="185" spans="1:10" hidden="1" outlineLevel="1" x14ac:dyDescent="0.25">
      <c r="A185" s="9" t="s">
        <v>583</v>
      </c>
      <c r="B185" s="22"/>
      <c r="C185" s="22" t="s">
        <v>845</v>
      </c>
      <c r="D185" s="5" t="s">
        <v>8</v>
      </c>
      <c r="E185" s="5" t="s">
        <v>26</v>
      </c>
      <c r="F185" s="7" t="str">
        <f>VLOOKUP($E185,'Приложение 4'!$B$2:$C$10,2,FALSE)</f>
        <v>т</v>
      </c>
      <c r="G185" s="5">
        <v>5.4</v>
      </c>
      <c r="H185" s="5"/>
      <c r="I185" s="30">
        <v>0</v>
      </c>
      <c r="J185" s="30">
        <f t="shared" si="2"/>
        <v>0</v>
      </c>
    </row>
    <row r="186" spans="1:10" hidden="1" outlineLevel="1" x14ac:dyDescent="0.25">
      <c r="A186" s="9" t="s">
        <v>584</v>
      </c>
      <c r="B186" s="22"/>
      <c r="C186" s="22"/>
      <c r="D186" s="5"/>
      <c r="E186" s="5" t="s">
        <v>26</v>
      </c>
      <c r="F186" s="7" t="str">
        <f>VLOOKUP($E186,'Приложение 4'!$B$2:$C$10,2,FALSE)</f>
        <v>т</v>
      </c>
      <c r="G186" s="5"/>
      <c r="H186" s="5"/>
      <c r="I186" s="30">
        <v>0</v>
      </c>
      <c r="J186" s="30">
        <f t="shared" si="2"/>
        <v>0</v>
      </c>
    </row>
    <row r="187" spans="1:10" hidden="1" outlineLevel="1" x14ac:dyDescent="0.25">
      <c r="A187" s="9" t="s">
        <v>585</v>
      </c>
      <c r="B187" s="22"/>
      <c r="C187" s="22"/>
      <c r="D187" s="5"/>
      <c r="E187" s="5" t="s">
        <v>26</v>
      </c>
      <c r="F187" s="7" t="str">
        <f>VLOOKUP($E187,'Приложение 4'!$B$2:$C$10,2,FALSE)</f>
        <v>т</v>
      </c>
      <c r="G187" s="5"/>
      <c r="H187" s="5"/>
      <c r="I187" s="30">
        <v>0</v>
      </c>
      <c r="J187" s="30">
        <f t="shared" si="2"/>
        <v>0</v>
      </c>
    </row>
    <row r="188" spans="1:10" hidden="1" outlineLevel="1" x14ac:dyDescent="0.25">
      <c r="A188" s="9" t="s">
        <v>590</v>
      </c>
      <c r="B188" s="22"/>
      <c r="C188" s="22"/>
      <c r="D188" s="5"/>
      <c r="E188" s="5" t="s">
        <v>26</v>
      </c>
      <c r="F188" s="7" t="str">
        <f>VLOOKUP($E188,'Приложение 4'!$B$2:$C$10,2,FALSE)</f>
        <v>т</v>
      </c>
      <c r="G188" s="5"/>
      <c r="H188" s="5"/>
      <c r="I188" s="30">
        <v>0</v>
      </c>
      <c r="J188" s="30">
        <f t="shared" si="2"/>
        <v>0</v>
      </c>
    </row>
    <row r="189" spans="1:10" hidden="1" outlineLevel="1" x14ac:dyDescent="0.25">
      <c r="A189" s="9" t="s">
        <v>591</v>
      </c>
      <c r="B189" s="22"/>
      <c r="C189" s="22"/>
      <c r="D189" s="5"/>
      <c r="E189" s="5" t="s">
        <v>26</v>
      </c>
      <c r="F189" s="7" t="str">
        <f>VLOOKUP($E189,'Приложение 4'!$B$2:$C$10,2,FALSE)</f>
        <v>т</v>
      </c>
      <c r="G189" s="5"/>
      <c r="H189" s="5"/>
      <c r="I189" s="30">
        <v>0</v>
      </c>
      <c r="J189" s="30">
        <f t="shared" si="2"/>
        <v>0</v>
      </c>
    </row>
    <row r="190" spans="1:10" hidden="1" outlineLevel="1" x14ac:dyDescent="0.25">
      <c r="A190" s="9" t="s">
        <v>592</v>
      </c>
      <c r="B190" s="22"/>
      <c r="C190" s="22"/>
      <c r="D190" s="5"/>
      <c r="E190" s="5" t="s">
        <v>26</v>
      </c>
      <c r="F190" s="7" t="str">
        <f>VLOOKUP($E190,'Приложение 4'!$B$2:$C$10,2,FALSE)</f>
        <v>т</v>
      </c>
      <c r="G190" s="5"/>
      <c r="H190" s="5"/>
      <c r="I190" s="30">
        <v>0</v>
      </c>
      <c r="J190" s="30">
        <f t="shared" si="2"/>
        <v>0</v>
      </c>
    </row>
    <row r="191" spans="1:10" hidden="1" outlineLevel="1" x14ac:dyDescent="0.25">
      <c r="A191" s="9" t="s">
        <v>593</v>
      </c>
      <c r="B191" s="22"/>
      <c r="C191" s="22"/>
      <c r="D191" s="5"/>
      <c r="E191" s="5" t="s">
        <v>26</v>
      </c>
      <c r="F191" s="7" t="str">
        <f>VLOOKUP($E191,'Приложение 4'!$B$2:$C$10,2,FALSE)</f>
        <v>т</v>
      </c>
      <c r="G191" s="5"/>
      <c r="H191" s="5"/>
      <c r="I191" s="30">
        <v>0</v>
      </c>
      <c r="J191" s="30">
        <f t="shared" si="2"/>
        <v>0</v>
      </c>
    </row>
    <row r="192" spans="1:10" hidden="1" outlineLevel="1" x14ac:dyDescent="0.25">
      <c r="A192" s="9" t="s">
        <v>594</v>
      </c>
      <c r="B192" s="22"/>
      <c r="C192" s="22"/>
      <c r="D192" s="5"/>
      <c r="E192" s="5" t="s">
        <v>26</v>
      </c>
      <c r="F192" s="7" t="str">
        <f>VLOOKUP($E192,'Приложение 4'!$B$2:$C$10,2,FALSE)</f>
        <v>т</v>
      </c>
      <c r="G192" s="5"/>
      <c r="H192" s="5"/>
      <c r="I192" s="30">
        <v>0</v>
      </c>
      <c r="J192" s="30">
        <f t="shared" si="2"/>
        <v>0</v>
      </c>
    </row>
    <row r="193" spans="1:10" hidden="1" outlineLevel="1" x14ac:dyDescent="0.25">
      <c r="A193" s="9" t="s">
        <v>595</v>
      </c>
      <c r="B193" s="22"/>
      <c r="C193" s="22"/>
      <c r="D193" s="5"/>
      <c r="E193" s="5" t="s">
        <v>26</v>
      </c>
      <c r="F193" s="7" t="str">
        <f>VLOOKUP($E193,'Приложение 4'!$B$2:$C$10,2,FALSE)</f>
        <v>т</v>
      </c>
      <c r="G193" s="5"/>
      <c r="H193" s="5"/>
      <c r="I193" s="30">
        <v>0</v>
      </c>
      <c r="J193" s="30">
        <f t="shared" si="2"/>
        <v>0</v>
      </c>
    </row>
    <row r="194" spans="1:10" hidden="1" outlineLevel="1" x14ac:dyDescent="0.25">
      <c r="A194" s="9" t="s">
        <v>596</v>
      </c>
      <c r="B194" s="22"/>
      <c r="C194" s="22"/>
      <c r="D194" s="5"/>
      <c r="E194" s="5" t="s">
        <v>26</v>
      </c>
      <c r="F194" s="7" t="str">
        <f>VLOOKUP($E194,'Приложение 4'!$B$2:$C$10,2,FALSE)</f>
        <v>т</v>
      </c>
      <c r="G194" s="5"/>
      <c r="H194" s="5"/>
      <c r="I194" s="30">
        <v>0</v>
      </c>
      <c r="J194" s="30">
        <f t="shared" si="2"/>
        <v>0</v>
      </c>
    </row>
    <row r="195" spans="1:10" hidden="1" outlineLevel="1" x14ac:dyDescent="0.25">
      <c r="A195" s="9" t="s">
        <v>597</v>
      </c>
      <c r="B195" s="22"/>
      <c r="C195" s="22"/>
      <c r="D195" s="5"/>
      <c r="E195" s="5" t="s">
        <v>26</v>
      </c>
      <c r="F195" s="7" t="str">
        <f>VLOOKUP($E195,'Приложение 4'!$B$2:$C$10,2,FALSE)</f>
        <v>т</v>
      </c>
      <c r="G195" s="5"/>
      <c r="H195" s="5"/>
      <c r="I195" s="30">
        <v>0</v>
      </c>
      <c r="J195" s="30">
        <f t="shared" si="2"/>
        <v>0</v>
      </c>
    </row>
    <row r="196" spans="1:10" hidden="1" outlineLevel="1" x14ac:dyDescent="0.25">
      <c r="A196" s="9" t="s">
        <v>598</v>
      </c>
      <c r="B196" s="22"/>
      <c r="C196" s="22"/>
      <c r="D196" s="5"/>
      <c r="E196" s="5" t="s">
        <v>26</v>
      </c>
      <c r="F196" s="7" t="str">
        <f>VLOOKUP($E196,'Приложение 4'!$B$2:$C$10,2,FALSE)</f>
        <v>т</v>
      </c>
      <c r="G196" s="5"/>
      <c r="H196" s="5"/>
      <c r="I196" s="30">
        <v>0</v>
      </c>
      <c r="J196" s="30">
        <f t="shared" si="2"/>
        <v>0</v>
      </c>
    </row>
    <row r="197" spans="1:10" hidden="1" outlineLevel="1" x14ac:dyDescent="0.25">
      <c r="A197" s="9" t="s">
        <v>599</v>
      </c>
      <c r="B197" s="22"/>
      <c r="C197" s="22"/>
      <c r="D197" s="5"/>
      <c r="E197" s="5" t="s">
        <v>26</v>
      </c>
      <c r="F197" s="7" t="str">
        <f>VLOOKUP($E197,'Приложение 4'!$B$2:$C$10,2,FALSE)</f>
        <v>т</v>
      </c>
      <c r="G197" s="5"/>
      <c r="H197" s="5"/>
      <c r="I197" s="30">
        <v>0</v>
      </c>
      <c r="J197" s="30">
        <f t="shared" si="2"/>
        <v>0</v>
      </c>
    </row>
    <row r="198" spans="1:10" hidden="1" outlineLevel="1" x14ac:dyDescent="0.25">
      <c r="A198" s="9" t="s">
        <v>629</v>
      </c>
      <c r="B198" s="22"/>
      <c r="C198" s="22"/>
      <c r="D198" s="5"/>
      <c r="E198" s="5" t="s">
        <v>26</v>
      </c>
      <c r="F198" s="7" t="str">
        <f>VLOOKUP($E198,'Приложение 4'!$B$2:$C$10,2,FALSE)</f>
        <v>т</v>
      </c>
      <c r="G198" s="5"/>
      <c r="H198" s="5"/>
      <c r="I198" s="30">
        <v>0</v>
      </c>
      <c r="J198" s="30">
        <f t="shared" ref="J198:J202" si="3">G198*I198</f>
        <v>0</v>
      </c>
    </row>
    <row r="199" spans="1:10" hidden="1" outlineLevel="1" x14ac:dyDescent="0.25">
      <c r="A199" s="9" t="s">
        <v>630</v>
      </c>
      <c r="B199" s="22"/>
      <c r="C199" s="22"/>
      <c r="D199" s="5"/>
      <c r="E199" s="5" t="s">
        <v>26</v>
      </c>
      <c r="F199" s="7" t="str">
        <f>VLOOKUP($E199,'Приложение 4'!$B$2:$C$10,2,FALSE)</f>
        <v>т</v>
      </c>
      <c r="G199" s="5"/>
      <c r="H199" s="5"/>
      <c r="I199" s="30">
        <v>0</v>
      </c>
      <c r="J199" s="30">
        <f t="shared" si="3"/>
        <v>0</v>
      </c>
    </row>
    <row r="200" spans="1:10" hidden="1" outlineLevel="1" x14ac:dyDescent="0.25">
      <c r="A200" s="9" t="s">
        <v>631</v>
      </c>
      <c r="B200" s="22"/>
      <c r="C200" s="22"/>
      <c r="D200" s="5"/>
      <c r="E200" s="5" t="s">
        <v>26</v>
      </c>
      <c r="F200" s="7" t="str">
        <f>VLOOKUP($E200,'Приложение 4'!$B$2:$C$10,2,FALSE)</f>
        <v>т</v>
      </c>
      <c r="G200" s="5"/>
      <c r="H200" s="5"/>
      <c r="I200" s="30">
        <v>0</v>
      </c>
      <c r="J200" s="30">
        <f t="shared" si="3"/>
        <v>0</v>
      </c>
    </row>
    <row r="201" spans="1:10" ht="18.75" collapsed="1" x14ac:dyDescent="0.25">
      <c r="A201" s="10" t="s">
        <v>633</v>
      </c>
      <c r="B201" s="38" t="s">
        <v>865</v>
      </c>
      <c r="C201" s="38"/>
      <c r="D201" s="37"/>
      <c r="E201" s="37"/>
      <c r="F201" s="10" t="s">
        <v>10</v>
      </c>
      <c r="G201" s="10">
        <f>SUM(G202:G228)</f>
        <v>99.5</v>
      </c>
      <c r="H201" s="10"/>
      <c r="I201" s="29"/>
      <c r="J201" s="29">
        <f>SUM(J202:J228)</f>
        <v>0</v>
      </c>
    </row>
    <row r="202" spans="1:10" ht="30" hidden="1" outlineLevel="1" x14ac:dyDescent="0.25">
      <c r="A202" s="9" t="s">
        <v>667</v>
      </c>
      <c r="B202" s="22" t="s">
        <v>570</v>
      </c>
      <c r="C202" s="22" t="s">
        <v>604</v>
      </c>
      <c r="D202" s="5" t="s">
        <v>8</v>
      </c>
      <c r="E202" s="5" t="s">
        <v>15</v>
      </c>
      <c r="F202" s="7" t="str">
        <f>VLOOKUP($E202,'Приложение 4'!$B$2:$C$10,2,FALSE)</f>
        <v>т</v>
      </c>
      <c r="G202" s="49">
        <v>36.5</v>
      </c>
      <c r="H202" s="49"/>
      <c r="I202" s="39">
        <v>0</v>
      </c>
      <c r="J202" s="39">
        <f t="shared" si="3"/>
        <v>0</v>
      </c>
    </row>
    <row r="203" spans="1:10" ht="30" hidden="1" outlineLevel="1" x14ac:dyDescent="0.25">
      <c r="A203" s="9" t="s">
        <v>668</v>
      </c>
      <c r="B203" s="22" t="s">
        <v>576</v>
      </c>
      <c r="C203" s="22" t="s">
        <v>575</v>
      </c>
      <c r="D203" s="5" t="s">
        <v>8</v>
      </c>
      <c r="E203" s="5" t="s">
        <v>15</v>
      </c>
      <c r="F203" s="7" t="str">
        <f>VLOOKUP($E203,'Приложение 4'!$B$2:$C$10,2,FALSE)</f>
        <v>т</v>
      </c>
      <c r="G203" s="49"/>
      <c r="H203" s="49"/>
      <c r="I203" s="39"/>
      <c r="J203" s="39"/>
    </row>
    <row r="204" spans="1:10" ht="30" hidden="1" outlineLevel="1" x14ac:dyDescent="0.25">
      <c r="A204" s="9" t="s">
        <v>669</v>
      </c>
      <c r="B204" s="22" t="s">
        <v>577</v>
      </c>
      <c r="C204" s="22" t="s">
        <v>600</v>
      </c>
      <c r="D204" s="5" t="s">
        <v>8</v>
      </c>
      <c r="E204" s="5" t="s">
        <v>15</v>
      </c>
      <c r="F204" s="7" t="str">
        <f>VLOOKUP($E204,'Приложение 4'!$B$2:$C$10,2,FALSE)</f>
        <v>т</v>
      </c>
      <c r="G204" s="49"/>
      <c r="H204" s="49"/>
      <c r="I204" s="39"/>
      <c r="J204" s="39"/>
    </row>
    <row r="205" spans="1:10" ht="30" hidden="1" outlineLevel="1" x14ac:dyDescent="0.25">
      <c r="A205" s="9" t="s">
        <v>670</v>
      </c>
      <c r="B205" s="22" t="s">
        <v>578</v>
      </c>
      <c r="C205" s="22" t="s">
        <v>572</v>
      </c>
      <c r="D205" s="5" t="s">
        <v>8</v>
      </c>
      <c r="E205" s="5" t="s">
        <v>15</v>
      </c>
      <c r="F205" s="7" t="str">
        <f>VLOOKUP($E205,'Приложение 4'!$B$2:$C$10,2,FALSE)</f>
        <v>т</v>
      </c>
      <c r="G205" s="49"/>
      <c r="H205" s="49"/>
      <c r="I205" s="39"/>
      <c r="J205" s="39"/>
    </row>
    <row r="206" spans="1:10" ht="30" hidden="1" outlineLevel="1" x14ac:dyDescent="0.25">
      <c r="A206" s="9" t="s">
        <v>671</v>
      </c>
      <c r="B206" s="22" t="s">
        <v>579</v>
      </c>
      <c r="C206" s="22" t="s">
        <v>573</v>
      </c>
      <c r="D206" s="5" t="s">
        <v>8</v>
      </c>
      <c r="E206" s="5" t="s">
        <v>15</v>
      </c>
      <c r="F206" s="7" t="str">
        <f>VLOOKUP($E206,'Приложение 4'!$B$2:$C$10,2,FALSE)</f>
        <v>т</v>
      </c>
      <c r="G206" s="49"/>
      <c r="H206" s="49"/>
      <c r="I206" s="39"/>
      <c r="J206" s="39"/>
    </row>
    <row r="207" spans="1:10" ht="30" hidden="1" outlineLevel="1" x14ac:dyDescent="0.25">
      <c r="A207" s="9" t="s">
        <v>672</v>
      </c>
      <c r="B207" s="22" t="s">
        <v>580</v>
      </c>
      <c r="C207" s="22" t="s">
        <v>574</v>
      </c>
      <c r="D207" s="5" t="s">
        <v>8</v>
      </c>
      <c r="E207" s="5" t="s">
        <v>15</v>
      </c>
      <c r="F207" s="7" t="str">
        <f>VLOOKUP($E207,'Приложение 4'!$B$2:$C$10,2,FALSE)</f>
        <v>т</v>
      </c>
      <c r="G207" s="49"/>
      <c r="H207" s="49"/>
      <c r="I207" s="39"/>
      <c r="J207" s="39"/>
    </row>
    <row r="208" spans="1:10" ht="30" hidden="1" outlineLevel="1" x14ac:dyDescent="0.25">
      <c r="A208" s="9" t="s">
        <v>673</v>
      </c>
      <c r="B208" s="22" t="s">
        <v>588</v>
      </c>
      <c r="C208" s="22" t="s">
        <v>586</v>
      </c>
      <c r="D208" s="5" t="s">
        <v>8</v>
      </c>
      <c r="E208" s="5" t="s">
        <v>15</v>
      </c>
      <c r="F208" s="7" t="str">
        <f>VLOOKUP($E208,'Приложение 4'!$B$2:$C$10,2,FALSE)</f>
        <v>т</v>
      </c>
      <c r="G208" s="49"/>
      <c r="H208" s="49"/>
      <c r="I208" s="39"/>
      <c r="J208" s="39"/>
    </row>
    <row r="209" spans="1:10" ht="30" hidden="1" outlineLevel="1" x14ac:dyDescent="0.25">
      <c r="A209" s="9" t="s">
        <v>674</v>
      </c>
      <c r="B209" s="22" t="s">
        <v>589</v>
      </c>
      <c r="C209" s="24" t="s">
        <v>587</v>
      </c>
      <c r="D209" s="5" t="s">
        <v>8</v>
      </c>
      <c r="E209" s="5" t="s">
        <v>15</v>
      </c>
      <c r="F209" s="7" t="str">
        <f>VLOOKUP($E209,'Приложение 4'!$B$2:$C$10,2,FALSE)</f>
        <v>т</v>
      </c>
      <c r="G209" s="49"/>
      <c r="H209" s="49"/>
      <c r="I209" s="39"/>
      <c r="J209" s="39"/>
    </row>
    <row r="210" spans="1:10" ht="30" hidden="1" outlineLevel="1" x14ac:dyDescent="0.25">
      <c r="A210" s="9" t="s">
        <v>675</v>
      </c>
      <c r="B210" s="22" t="s">
        <v>610</v>
      </c>
      <c r="C210" s="25" t="s">
        <v>609</v>
      </c>
      <c r="D210" s="5" t="s">
        <v>8</v>
      </c>
      <c r="E210" s="5" t="s">
        <v>15</v>
      </c>
      <c r="F210" s="7" t="str">
        <f>VLOOKUP($E210,'Приложение 4'!$B$2:$C$10,2,FALSE)</f>
        <v>т</v>
      </c>
      <c r="G210" s="49"/>
      <c r="H210" s="49"/>
      <c r="I210" s="39"/>
      <c r="J210" s="39"/>
    </row>
    <row r="211" spans="1:10" ht="30" hidden="1" outlineLevel="1" x14ac:dyDescent="0.25">
      <c r="A211" s="9" t="s">
        <v>676</v>
      </c>
      <c r="B211" s="22" t="s">
        <v>602</v>
      </c>
      <c r="C211" s="22" t="s">
        <v>601</v>
      </c>
      <c r="D211" s="5" t="s">
        <v>8</v>
      </c>
      <c r="E211" s="5" t="s">
        <v>15</v>
      </c>
      <c r="F211" s="7" t="str">
        <f>VLOOKUP($E211,'Приложение 4'!$B$2:$C$10,2,FALSE)</f>
        <v>т</v>
      </c>
      <c r="G211" s="49"/>
      <c r="H211" s="49"/>
      <c r="I211" s="39"/>
      <c r="J211" s="39"/>
    </row>
    <row r="212" spans="1:10" ht="30" hidden="1" outlineLevel="1" x14ac:dyDescent="0.25">
      <c r="A212" s="9" t="s">
        <v>677</v>
      </c>
      <c r="B212" s="22"/>
      <c r="C212" s="22" t="s">
        <v>603</v>
      </c>
      <c r="D212" s="5" t="s">
        <v>8</v>
      </c>
      <c r="E212" s="5" t="s">
        <v>15</v>
      </c>
      <c r="F212" s="7" t="str">
        <f>VLOOKUP($E212,'Приложение 4'!$B$2:$C$10,2,FALSE)</f>
        <v>т</v>
      </c>
      <c r="G212" s="49"/>
      <c r="H212" s="49"/>
      <c r="I212" s="39"/>
      <c r="J212" s="39"/>
    </row>
    <row r="213" spans="1:10" ht="30" hidden="1" outlineLevel="1" x14ac:dyDescent="0.25">
      <c r="A213" s="9" t="s">
        <v>678</v>
      </c>
      <c r="B213" s="22" t="s">
        <v>626</v>
      </c>
      <c r="C213" s="22" t="s">
        <v>605</v>
      </c>
      <c r="D213" s="5" t="s">
        <v>8</v>
      </c>
      <c r="E213" s="5" t="s">
        <v>15</v>
      </c>
      <c r="F213" s="7" t="str">
        <f>VLOOKUP($E213,'Приложение 4'!$B$2:$C$10,2,FALSE)</f>
        <v>т</v>
      </c>
      <c r="G213" s="49">
        <v>50</v>
      </c>
      <c r="H213" s="49"/>
      <c r="I213" s="39">
        <v>0</v>
      </c>
      <c r="J213" s="39">
        <f>G213*I213</f>
        <v>0</v>
      </c>
    </row>
    <row r="214" spans="1:10" ht="30" hidden="1" outlineLevel="1" x14ac:dyDescent="0.25">
      <c r="A214" s="9" t="s">
        <v>679</v>
      </c>
      <c r="B214" s="22" t="s">
        <v>617</v>
      </c>
      <c r="C214" s="22" t="s">
        <v>612</v>
      </c>
      <c r="D214" s="5" t="s">
        <v>8</v>
      </c>
      <c r="E214" s="5" t="s">
        <v>15</v>
      </c>
      <c r="F214" s="7" t="str">
        <f>VLOOKUP($E214,'Приложение 4'!$B$2:$C$10,2,FALSE)</f>
        <v>т</v>
      </c>
      <c r="G214" s="49"/>
      <c r="H214" s="49"/>
      <c r="I214" s="39"/>
      <c r="J214" s="39"/>
    </row>
    <row r="215" spans="1:10" ht="30" hidden="1" outlineLevel="1" x14ac:dyDescent="0.25">
      <c r="A215" s="9" t="s">
        <v>680</v>
      </c>
      <c r="B215" s="22" t="s">
        <v>618</v>
      </c>
      <c r="C215" s="22" t="s">
        <v>613</v>
      </c>
      <c r="D215" s="5" t="s">
        <v>8</v>
      </c>
      <c r="E215" s="5" t="s">
        <v>15</v>
      </c>
      <c r="F215" s="7" t="str">
        <f>VLOOKUP($E215,'Приложение 4'!$B$2:$C$10,2,FALSE)</f>
        <v>т</v>
      </c>
      <c r="G215" s="49"/>
      <c r="H215" s="49"/>
      <c r="I215" s="39"/>
      <c r="J215" s="39"/>
    </row>
    <row r="216" spans="1:10" ht="30" hidden="1" outlineLevel="1" x14ac:dyDescent="0.25">
      <c r="A216" s="9" t="s">
        <v>681</v>
      </c>
      <c r="B216" s="22" t="s">
        <v>619</v>
      </c>
      <c r="C216" s="22" t="s">
        <v>614</v>
      </c>
      <c r="D216" s="5" t="s">
        <v>8</v>
      </c>
      <c r="E216" s="5" t="s">
        <v>15</v>
      </c>
      <c r="F216" s="7" t="str">
        <f>VLOOKUP($E216,'Приложение 4'!$B$2:$C$10,2,FALSE)</f>
        <v>т</v>
      </c>
      <c r="G216" s="49"/>
      <c r="H216" s="49"/>
      <c r="I216" s="39"/>
      <c r="J216" s="39"/>
    </row>
    <row r="217" spans="1:10" ht="30" hidden="1" outlineLevel="1" x14ac:dyDescent="0.25">
      <c r="A217" s="9" t="s">
        <v>682</v>
      </c>
      <c r="B217" s="22" t="s">
        <v>620</v>
      </c>
      <c r="C217" s="22" t="s">
        <v>606</v>
      </c>
      <c r="D217" s="5" t="s">
        <v>8</v>
      </c>
      <c r="E217" s="5" t="s">
        <v>15</v>
      </c>
      <c r="F217" s="7" t="str">
        <f>VLOOKUP($E217,'Приложение 4'!$B$2:$C$10,2,FALSE)</f>
        <v>т</v>
      </c>
      <c r="G217" s="49"/>
      <c r="H217" s="49"/>
      <c r="I217" s="39"/>
      <c r="J217" s="39"/>
    </row>
    <row r="218" spans="1:10" ht="30" hidden="1" outlineLevel="1" x14ac:dyDescent="0.25">
      <c r="A218" s="9" t="s">
        <v>683</v>
      </c>
      <c r="B218" s="22" t="s">
        <v>621</v>
      </c>
      <c r="C218" s="22" t="s">
        <v>615</v>
      </c>
      <c r="D218" s="5" t="s">
        <v>8</v>
      </c>
      <c r="E218" s="5" t="s">
        <v>15</v>
      </c>
      <c r="F218" s="7" t="str">
        <f>VLOOKUP($E218,'Приложение 4'!$B$2:$C$10,2,FALSE)</f>
        <v>т</v>
      </c>
      <c r="G218" s="49"/>
      <c r="H218" s="49"/>
      <c r="I218" s="39"/>
      <c r="J218" s="39"/>
    </row>
    <row r="219" spans="1:10" ht="30" hidden="1" outlineLevel="1" x14ac:dyDescent="0.25">
      <c r="A219" s="9" t="s">
        <v>684</v>
      </c>
      <c r="B219" s="22" t="s">
        <v>622</v>
      </c>
      <c r="C219" s="22" t="s">
        <v>616</v>
      </c>
      <c r="D219" s="5" t="s">
        <v>8</v>
      </c>
      <c r="E219" s="5" t="s">
        <v>15</v>
      </c>
      <c r="F219" s="7" t="str">
        <f>VLOOKUP($E219,'Приложение 4'!$B$2:$C$10,2,FALSE)</f>
        <v>т</v>
      </c>
      <c r="G219" s="49"/>
      <c r="H219" s="49"/>
      <c r="I219" s="39"/>
      <c r="J219" s="39"/>
    </row>
    <row r="220" spans="1:10" ht="30" hidden="1" outlineLevel="1" x14ac:dyDescent="0.25">
      <c r="A220" s="9" t="s">
        <v>685</v>
      </c>
      <c r="B220" s="22" t="s">
        <v>623</v>
      </c>
      <c r="C220" s="22" t="s">
        <v>607</v>
      </c>
      <c r="D220" s="5" t="s">
        <v>8</v>
      </c>
      <c r="E220" s="5" t="s">
        <v>15</v>
      </c>
      <c r="F220" s="7" t="str">
        <f>VLOOKUP($E220,'Приложение 4'!$B$2:$C$10,2,FALSE)</f>
        <v>т</v>
      </c>
      <c r="G220" s="49"/>
      <c r="H220" s="49"/>
      <c r="I220" s="39"/>
      <c r="J220" s="39"/>
    </row>
    <row r="221" spans="1:10" ht="30" hidden="1" outlineLevel="1" x14ac:dyDescent="0.25">
      <c r="A221" s="9" t="s">
        <v>686</v>
      </c>
      <c r="B221" s="22" t="s">
        <v>624</v>
      </c>
      <c r="C221" s="22" t="s">
        <v>608</v>
      </c>
      <c r="D221" s="5" t="s">
        <v>8</v>
      </c>
      <c r="E221" s="5" t="s">
        <v>15</v>
      </c>
      <c r="F221" s="7" t="str">
        <f>VLOOKUP($E221,'Приложение 4'!$B$2:$C$10,2,FALSE)</f>
        <v>т</v>
      </c>
      <c r="G221" s="49"/>
      <c r="H221" s="49"/>
      <c r="I221" s="39"/>
      <c r="J221" s="39"/>
    </row>
    <row r="222" spans="1:10" ht="30" hidden="1" outlineLevel="1" x14ac:dyDescent="0.25">
      <c r="A222" s="9" t="s">
        <v>687</v>
      </c>
      <c r="B222" s="22" t="s">
        <v>625</v>
      </c>
      <c r="C222" s="22" t="s">
        <v>611</v>
      </c>
      <c r="D222" s="5" t="s">
        <v>8</v>
      </c>
      <c r="E222" s="5" t="s">
        <v>15</v>
      </c>
      <c r="F222" s="7" t="str">
        <f>VLOOKUP($E222,'Приложение 4'!$B$2:$C$10,2,FALSE)</f>
        <v>т</v>
      </c>
      <c r="G222" s="49"/>
      <c r="H222" s="49"/>
      <c r="I222" s="39"/>
      <c r="J222" s="39"/>
    </row>
    <row r="223" spans="1:10" ht="30" hidden="1" outlineLevel="1" x14ac:dyDescent="0.25">
      <c r="A223" s="9" t="s">
        <v>688</v>
      </c>
      <c r="B223" s="22" t="s">
        <v>628</v>
      </c>
      <c r="C223" s="22" t="s">
        <v>627</v>
      </c>
      <c r="D223" s="5" t="s">
        <v>8</v>
      </c>
      <c r="E223" s="5" t="s">
        <v>15</v>
      </c>
      <c r="F223" s="7" t="str">
        <f>VLOOKUP($E223,'Приложение 4'!$B$2:$C$10,2,FALSE)</f>
        <v>т</v>
      </c>
      <c r="G223" s="49"/>
      <c r="H223" s="49"/>
      <c r="I223" s="39"/>
      <c r="J223" s="39"/>
    </row>
    <row r="224" spans="1:10" ht="30" hidden="1" outlineLevel="1" x14ac:dyDescent="0.25">
      <c r="A224" s="9" t="s">
        <v>689</v>
      </c>
      <c r="B224" s="22"/>
      <c r="C224" s="22" t="s">
        <v>632</v>
      </c>
      <c r="D224" s="5" t="s">
        <v>8</v>
      </c>
      <c r="E224" s="5" t="s">
        <v>15</v>
      </c>
      <c r="F224" s="7" t="str">
        <f>VLOOKUP($E224,'Приложение 4'!$B$2:$C$10,2,FALSE)</f>
        <v>т</v>
      </c>
      <c r="G224" s="49"/>
      <c r="H224" s="49"/>
      <c r="I224" s="39"/>
      <c r="J224" s="39"/>
    </row>
    <row r="225" spans="1:10" ht="30" hidden="1" outlineLevel="1" x14ac:dyDescent="0.25">
      <c r="A225" s="9" t="s">
        <v>690</v>
      </c>
      <c r="B225" s="22" t="s">
        <v>71</v>
      </c>
      <c r="C225" s="22" t="s">
        <v>665</v>
      </c>
      <c r="D225" s="5" t="s">
        <v>8</v>
      </c>
      <c r="E225" s="5" t="s">
        <v>15</v>
      </c>
      <c r="F225" s="7" t="str">
        <f>VLOOKUP($E225,'Приложение 4'!$B$2:$C$10,2,FALSE)</f>
        <v>т</v>
      </c>
      <c r="G225" s="5">
        <v>6.5</v>
      </c>
      <c r="H225" s="5"/>
      <c r="I225" s="30">
        <v>0</v>
      </c>
      <c r="J225" s="30">
        <f>G225*I225</f>
        <v>0</v>
      </c>
    </row>
    <row r="226" spans="1:10" ht="30" hidden="1" outlineLevel="1" x14ac:dyDescent="0.25">
      <c r="A226" s="9" t="s">
        <v>691</v>
      </c>
      <c r="B226" s="22" t="s">
        <v>77</v>
      </c>
      <c r="C226" s="22" t="s">
        <v>664</v>
      </c>
      <c r="D226" s="5" t="s">
        <v>8</v>
      </c>
      <c r="E226" s="5" t="s">
        <v>15</v>
      </c>
      <c r="F226" s="7" t="str">
        <f>VLOOKUP($E226,'Приложение 4'!$B$2:$C$10,2,FALSE)</f>
        <v>т</v>
      </c>
      <c r="G226" s="5">
        <v>6.5</v>
      </c>
      <c r="H226" s="5"/>
      <c r="I226" s="30">
        <v>0</v>
      </c>
      <c r="J226" s="30">
        <f t="shared" ref="J226:J290" si="4">G226*I226</f>
        <v>0</v>
      </c>
    </row>
    <row r="227" spans="1:10" ht="30" hidden="1" outlineLevel="1" x14ac:dyDescent="0.25">
      <c r="A227" s="9" t="s">
        <v>692</v>
      </c>
      <c r="B227" s="22" t="s">
        <v>660</v>
      </c>
      <c r="C227" s="22" t="s">
        <v>662</v>
      </c>
      <c r="D227" s="5" t="s">
        <v>8</v>
      </c>
      <c r="E227" s="5" t="s">
        <v>15</v>
      </c>
      <c r="F227" s="7" t="str">
        <f>VLOOKUP($E227,'Приложение 4'!$B$2:$C$10,2,FALSE)</f>
        <v>т</v>
      </c>
      <c r="G227" s="5"/>
      <c r="H227" s="5"/>
      <c r="I227" s="30">
        <v>0</v>
      </c>
      <c r="J227" s="30">
        <f t="shared" si="4"/>
        <v>0</v>
      </c>
    </row>
    <row r="228" spans="1:10" ht="30" hidden="1" outlineLevel="1" x14ac:dyDescent="0.25">
      <c r="A228" s="9" t="s">
        <v>693</v>
      </c>
      <c r="B228" s="22" t="s">
        <v>661</v>
      </c>
      <c r="C228" s="22" t="s">
        <v>663</v>
      </c>
      <c r="D228" s="5" t="s">
        <v>8</v>
      </c>
      <c r="E228" s="5" t="s">
        <v>15</v>
      </c>
      <c r="F228" s="7" t="str">
        <f>VLOOKUP($E228,'Приложение 4'!$B$2:$C$10,2,FALSE)</f>
        <v>т</v>
      </c>
      <c r="G228" s="5"/>
      <c r="H228" s="5"/>
      <c r="I228" s="30">
        <v>0</v>
      </c>
      <c r="J228" s="30">
        <f t="shared" si="4"/>
        <v>0</v>
      </c>
    </row>
    <row r="229" spans="1:10" ht="18.75" collapsed="1" x14ac:dyDescent="0.25">
      <c r="A229" s="10" t="s">
        <v>635</v>
      </c>
      <c r="B229" s="38" t="s">
        <v>634</v>
      </c>
      <c r="C229" s="38"/>
      <c r="D229" s="37"/>
      <c r="E229" s="37"/>
      <c r="F229" s="10" t="s">
        <v>10</v>
      </c>
      <c r="G229" s="10">
        <f>SUM(G230:G248)</f>
        <v>808.65</v>
      </c>
      <c r="H229" s="10"/>
      <c r="I229" s="29"/>
      <c r="J229" s="29">
        <f>SUM(J230:J248)</f>
        <v>0</v>
      </c>
    </row>
    <row r="230" spans="1:10" ht="45" hidden="1" outlineLevel="1" x14ac:dyDescent="0.25">
      <c r="A230" s="9" t="s">
        <v>694</v>
      </c>
      <c r="B230" s="22"/>
      <c r="C230" s="22" t="s">
        <v>827</v>
      </c>
      <c r="D230" s="5" t="s">
        <v>8</v>
      </c>
      <c r="E230" s="5" t="s">
        <v>9</v>
      </c>
      <c r="F230" s="7" t="str">
        <f>VLOOKUP($E230,'Приложение 4'!$B$2:$C$10,2,FALSE)</f>
        <v>т</v>
      </c>
      <c r="G230" s="5">
        <v>40.35</v>
      </c>
      <c r="H230" s="5" t="s">
        <v>866</v>
      </c>
      <c r="I230" s="30">
        <v>0</v>
      </c>
      <c r="J230" s="30">
        <f t="shared" si="4"/>
        <v>0</v>
      </c>
    </row>
    <row r="231" spans="1:10" hidden="1" outlineLevel="1" x14ac:dyDescent="0.25">
      <c r="A231" s="9" t="s">
        <v>695</v>
      </c>
      <c r="B231" s="22"/>
      <c r="C231" s="22" t="s">
        <v>828</v>
      </c>
      <c r="D231" s="5" t="s">
        <v>8</v>
      </c>
      <c r="E231" s="5" t="s">
        <v>9</v>
      </c>
      <c r="F231" s="7" t="str">
        <f>VLOOKUP($E231,'Приложение 4'!$B$2:$C$10,2,FALSE)</f>
        <v>т</v>
      </c>
      <c r="G231" s="5">
        <v>8.6</v>
      </c>
      <c r="H231" s="5" t="s">
        <v>27</v>
      </c>
      <c r="I231" s="30">
        <v>0</v>
      </c>
      <c r="J231" s="30">
        <f t="shared" si="4"/>
        <v>0</v>
      </c>
    </row>
    <row r="232" spans="1:10" ht="30" hidden="1" outlineLevel="1" x14ac:dyDescent="0.25">
      <c r="A232" s="9" t="s">
        <v>696</v>
      </c>
      <c r="B232" s="22"/>
      <c r="C232" s="22" t="s">
        <v>829</v>
      </c>
      <c r="D232" s="5" t="s">
        <v>8</v>
      </c>
      <c r="E232" s="5" t="s">
        <v>9</v>
      </c>
      <c r="F232" s="7" t="str">
        <f>VLOOKUP($E232,'Приложение 4'!$B$2:$C$10,2,FALSE)</f>
        <v>т</v>
      </c>
      <c r="G232" s="5">
        <v>9</v>
      </c>
      <c r="H232" s="5" t="s">
        <v>29</v>
      </c>
      <c r="I232" s="30">
        <v>0</v>
      </c>
      <c r="J232" s="30">
        <f t="shared" si="4"/>
        <v>0</v>
      </c>
    </row>
    <row r="233" spans="1:10" ht="45" hidden="1" outlineLevel="1" x14ac:dyDescent="0.25">
      <c r="A233" s="9" t="s">
        <v>697</v>
      </c>
      <c r="B233" s="22"/>
      <c r="C233" s="22" t="s">
        <v>830</v>
      </c>
      <c r="D233" s="5" t="s">
        <v>8</v>
      </c>
      <c r="E233" s="5" t="s">
        <v>9</v>
      </c>
      <c r="F233" s="7" t="str">
        <f>VLOOKUP($E233,'Приложение 4'!$B$2:$C$10,2,FALSE)</f>
        <v>т</v>
      </c>
      <c r="G233" s="5">
        <v>59.5</v>
      </c>
      <c r="H233" s="5" t="s">
        <v>835</v>
      </c>
      <c r="I233" s="30">
        <v>0</v>
      </c>
      <c r="J233" s="30">
        <f t="shared" si="4"/>
        <v>0</v>
      </c>
    </row>
    <row r="234" spans="1:10" ht="75" hidden="1" outlineLevel="1" x14ac:dyDescent="0.25">
      <c r="A234" s="9" t="s">
        <v>698</v>
      </c>
      <c r="B234" s="22"/>
      <c r="C234" s="22" t="s">
        <v>831</v>
      </c>
      <c r="D234" s="5" t="s">
        <v>8</v>
      </c>
      <c r="E234" s="5" t="s">
        <v>9</v>
      </c>
      <c r="F234" s="7" t="str">
        <f>VLOOKUP($E234,'Приложение 4'!$B$2:$C$10,2,FALSE)</f>
        <v>т</v>
      </c>
      <c r="G234" s="5">
        <v>53.2</v>
      </c>
      <c r="H234" s="5" t="s">
        <v>28</v>
      </c>
      <c r="I234" s="30">
        <v>0</v>
      </c>
      <c r="J234" s="30">
        <f t="shared" si="4"/>
        <v>0</v>
      </c>
    </row>
    <row r="235" spans="1:10" ht="45" hidden="1" outlineLevel="1" x14ac:dyDescent="0.25">
      <c r="A235" s="9" t="s">
        <v>699</v>
      </c>
      <c r="B235" s="22"/>
      <c r="C235" s="22" t="s">
        <v>832</v>
      </c>
      <c r="D235" s="5" t="s">
        <v>8</v>
      </c>
      <c r="E235" s="5" t="s">
        <v>9</v>
      </c>
      <c r="F235" s="7" t="str">
        <f>VLOOKUP($E235,'Приложение 4'!$B$2:$C$10,2,FALSE)</f>
        <v>т</v>
      </c>
      <c r="G235" s="5">
        <v>35.700000000000003</v>
      </c>
      <c r="H235" s="5" t="s">
        <v>28</v>
      </c>
      <c r="I235" s="30">
        <v>0</v>
      </c>
      <c r="J235" s="30">
        <f t="shared" si="4"/>
        <v>0</v>
      </c>
    </row>
    <row r="236" spans="1:10" ht="75" hidden="1" outlineLevel="1" x14ac:dyDescent="0.25">
      <c r="A236" s="9" t="s">
        <v>700</v>
      </c>
      <c r="B236" s="22"/>
      <c r="C236" s="22" t="s">
        <v>833</v>
      </c>
      <c r="D236" s="5" t="s">
        <v>8</v>
      </c>
      <c r="E236" s="5" t="s">
        <v>9</v>
      </c>
      <c r="F236" s="7" t="str">
        <f>VLOOKUP($E236,'Приложение 4'!$B$2:$C$10,2,FALSE)</f>
        <v>т</v>
      </c>
      <c r="G236" s="5">
        <v>153.4</v>
      </c>
      <c r="H236" s="5" t="s">
        <v>28</v>
      </c>
      <c r="I236" s="30">
        <v>0</v>
      </c>
      <c r="J236" s="30">
        <f t="shared" si="4"/>
        <v>0</v>
      </c>
    </row>
    <row r="237" spans="1:10" ht="75" hidden="1" outlineLevel="1" x14ac:dyDescent="0.25">
      <c r="A237" s="9" t="s">
        <v>701</v>
      </c>
      <c r="B237" s="22"/>
      <c r="C237" s="22" t="s">
        <v>870</v>
      </c>
      <c r="D237" s="5" t="s">
        <v>8</v>
      </c>
      <c r="E237" s="5" t="s">
        <v>9</v>
      </c>
      <c r="F237" s="7" t="str">
        <f>VLOOKUP($E237,'Приложение 4'!$B$2:$C$10,2,FALSE)</f>
        <v>т</v>
      </c>
      <c r="G237" s="5">
        <v>159</v>
      </c>
      <c r="H237" s="5" t="s">
        <v>28</v>
      </c>
      <c r="I237" s="30">
        <v>0</v>
      </c>
      <c r="J237" s="30">
        <f t="shared" si="4"/>
        <v>0</v>
      </c>
    </row>
    <row r="238" spans="1:10" ht="75" hidden="1" outlineLevel="1" x14ac:dyDescent="0.25">
      <c r="A238" s="9" t="s">
        <v>702</v>
      </c>
      <c r="B238" s="22"/>
      <c r="C238" s="22" t="s">
        <v>871</v>
      </c>
      <c r="D238" s="5" t="s">
        <v>8</v>
      </c>
      <c r="E238" s="5" t="s">
        <v>9</v>
      </c>
      <c r="F238" s="7" t="str">
        <f>VLOOKUP($E238,'Приложение 4'!$B$2:$C$10,2,FALSE)</f>
        <v>т</v>
      </c>
      <c r="G238" s="5">
        <v>98.4</v>
      </c>
      <c r="H238" s="5" t="s">
        <v>28</v>
      </c>
      <c r="I238" s="30">
        <v>0</v>
      </c>
      <c r="J238" s="30">
        <f t="shared" si="4"/>
        <v>0</v>
      </c>
    </row>
    <row r="239" spans="1:10" ht="45" hidden="1" outlineLevel="1" x14ac:dyDescent="0.25">
      <c r="A239" s="9" t="s">
        <v>703</v>
      </c>
      <c r="B239" s="22"/>
      <c r="C239" s="22" t="s">
        <v>872</v>
      </c>
      <c r="D239" s="5" t="s">
        <v>8</v>
      </c>
      <c r="E239" s="5" t="s">
        <v>9</v>
      </c>
      <c r="F239" s="7" t="str">
        <f>VLOOKUP($E239,'Приложение 4'!$B$2:$C$10,2,FALSE)</f>
        <v>т</v>
      </c>
      <c r="G239" s="5">
        <v>105.7</v>
      </c>
      <c r="H239" s="5" t="s">
        <v>834</v>
      </c>
      <c r="I239" s="30">
        <v>0</v>
      </c>
      <c r="J239" s="30">
        <f t="shared" si="4"/>
        <v>0</v>
      </c>
    </row>
    <row r="240" spans="1:10" ht="45" hidden="1" outlineLevel="1" x14ac:dyDescent="0.25">
      <c r="A240" s="9" t="s">
        <v>704</v>
      </c>
      <c r="B240" s="22"/>
      <c r="C240" s="22" t="s">
        <v>873</v>
      </c>
      <c r="D240" s="5" t="s">
        <v>8</v>
      </c>
      <c r="E240" s="5" t="s">
        <v>9</v>
      </c>
      <c r="F240" s="7" t="str">
        <f>VLOOKUP($E240,'Приложение 4'!$B$2:$C$10,2,FALSE)</f>
        <v>т</v>
      </c>
      <c r="G240" s="5">
        <v>85.8</v>
      </c>
      <c r="H240" s="5" t="s">
        <v>24</v>
      </c>
      <c r="I240" s="30">
        <v>0</v>
      </c>
      <c r="J240" s="30">
        <f t="shared" si="4"/>
        <v>0</v>
      </c>
    </row>
    <row r="241" spans="1:10" hidden="1" outlineLevel="1" x14ac:dyDescent="0.25">
      <c r="A241" s="9" t="s">
        <v>705</v>
      </c>
      <c r="B241" s="22"/>
      <c r="C241" s="22"/>
      <c r="D241" s="5" t="s">
        <v>8</v>
      </c>
      <c r="E241" s="5" t="s">
        <v>9</v>
      </c>
      <c r="F241" s="7" t="str">
        <f>VLOOKUP($E241,'Приложение 4'!$B$2:$C$10,2,FALSE)</f>
        <v>т</v>
      </c>
      <c r="G241" s="5"/>
      <c r="H241" s="5"/>
      <c r="I241" s="30">
        <v>0</v>
      </c>
      <c r="J241" s="30">
        <f t="shared" si="4"/>
        <v>0</v>
      </c>
    </row>
    <row r="242" spans="1:10" hidden="1" outlineLevel="1" x14ac:dyDescent="0.25">
      <c r="A242" s="9" t="s">
        <v>706</v>
      </c>
      <c r="B242" s="22"/>
      <c r="C242" s="22"/>
      <c r="D242" s="5" t="s">
        <v>8</v>
      </c>
      <c r="E242" s="5" t="s">
        <v>9</v>
      </c>
      <c r="F242" s="7" t="str">
        <f>VLOOKUP($E242,'Приложение 4'!$B$2:$C$10,2,FALSE)</f>
        <v>т</v>
      </c>
      <c r="G242" s="5"/>
      <c r="H242" s="5"/>
      <c r="I242" s="30">
        <v>0</v>
      </c>
      <c r="J242" s="30">
        <f t="shared" si="4"/>
        <v>0</v>
      </c>
    </row>
    <row r="243" spans="1:10" hidden="1" outlineLevel="1" x14ac:dyDescent="0.25">
      <c r="A243" s="9" t="s">
        <v>707</v>
      </c>
      <c r="B243" s="22"/>
      <c r="C243" s="22"/>
      <c r="D243" s="5" t="s">
        <v>8</v>
      </c>
      <c r="E243" s="5" t="s">
        <v>9</v>
      </c>
      <c r="F243" s="7" t="str">
        <f>VLOOKUP($E243,'Приложение 4'!$B$2:$C$10,2,FALSE)</f>
        <v>т</v>
      </c>
      <c r="G243" s="5"/>
      <c r="H243" s="5"/>
      <c r="I243" s="30">
        <v>0</v>
      </c>
      <c r="J243" s="30">
        <f t="shared" si="4"/>
        <v>0</v>
      </c>
    </row>
    <row r="244" spans="1:10" hidden="1" outlineLevel="1" x14ac:dyDescent="0.25">
      <c r="A244" s="9" t="s">
        <v>708</v>
      </c>
      <c r="B244" s="22"/>
      <c r="C244" s="22"/>
      <c r="D244" s="5" t="s">
        <v>8</v>
      </c>
      <c r="E244" s="5" t="s">
        <v>9</v>
      </c>
      <c r="F244" s="7" t="str">
        <f>VLOOKUP($E244,'Приложение 4'!$B$2:$C$10,2,FALSE)</f>
        <v>т</v>
      </c>
      <c r="G244" s="5"/>
      <c r="H244" s="5"/>
      <c r="I244" s="30">
        <v>0</v>
      </c>
      <c r="J244" s="30">
        <f t="shared" si="4"/>
        <v>0</v>
      </c>
    </row>
    <row r="245" spans="1:10" hidden="1" outlineLevel="1" x14ac:dyDescent="0.25">
      <c r="A245" s="9" t="s">
        <v>709</v>
      </c>
      <c r="B245" s="22"/>
      <c r="C245" s="22"/>
      <c r="D245" s="5" t="s">
        <v>8</v>
      </c>
      <c r="E245" s="5" t="s">
        <v>9</v>
      </c>
      <c r="F245" s="7" t="str">
        <f>VLOOKUP($E245,'Приложение 4'!$B$2:$C$10,2,FALSE)</f>
        <v>т</v>
      </c>
      <c r="G245" s="5"/>
      <c r="H245" s="5"/>
      <c r="I245" s="30">
        <v>0</v>
      </c>
      <c r="J245" s="30">
        <f t="shared" si="4"/>
        <v>0</v>
      </c>
    </row>
    <row r="246" spans="1:10" hidden="1" outlineLevel="1" x14ac:dyDescent="0.25">
      <c r="A246" s="9" t="s">
        <v>710</v>
      </c>
      <c r="B246" s="22"/>
      <c r="C246" s="22"/>
      <c r="D246" s="5" t="s">
        <v>8</v>
      </c>
      <c r="E246" s="5" t="s">
        <v>9</v>
      </c>
      <c r="F246" s="7" t="str">
        <f>VLOOKUP($E246,'Приложение 4'!$B$2:$C$10,2,FALSE)</f>
        <v>т</v>
      </c>
      <c r="G246" s="5"/>
      <c r="H246" s="5"/>
      <c r="I246" s="30">
        <v>0</v>
      </c>
      <c r="J246" s="30">
        <f t="shared" si="4"/>
        <v>0</v>
      </c>
    </row>
    <row r="247" spans="1:10" hidden="1" outlineLevel="1" x14ac:dyDescent="0.25">
      <c r="A247" s="9" t="s">
        <v>711</v>
      </c>
      <c r="B247" s="22"/>
      <c r="C247" s="22"/>
      <c r="D247" s="5" t="s">
        <v>8</v>
      </c>
      <c r="E247" s="5" t="s">
        <v>9</v>
      </c>
      <c r="F247" s="7" t="str">
        <f>VLOOKUP($E247,'Приложение 4'!$B$2:$C$10,2,FALSE)</f>
        <v>т</v>
      </c>
      <c r="G247" s="5"/>
      <c r="H247" s="5"/>
      <c r="I247" s="30">
        <v>0</v>
      </c>
      <c r="J247" s="30">
        <f t="shared" si="4"/>
        <v>0</v>
      </c>
    </row>
    <row r="248" spans="1:10" hidden="1" outlineLevel="1" x14ac:dyDescent="0.25">
      <c r="A248" s="9" t="s">
        <v>712</v>
      </c>
      <c r="B248" s="22"/>
      <c r="C248" s="22"/>
      <c r="D248" s="5" t="s">
        <v>8</v>
      </c>
      <c r="E248" s="5" t="s">
        <v>9</v>
      </c>
      <c r="F248" s="7" t="str">
        <f>VLOOKUP($E248,'Приложение 4'!$B$2:$C$10,2,FALSE)</f>
        <v>т</v>
      </c>
      <c r="G248" s="5"/>
      <c r="H248" s="5"/>
      <c r="I248" s="30">
        <v>0</v>
      </c>
      <c r="J248" s="30">
        <f t="shared" si="4"/>
        <v>0</v>
      </c>
    </row>
    <row r="249" spans="1:10" ht="18.75" collapsed="1" x14ac:dyDescent="0.25">
      <c r="A249" s="10" t="s">
        <v>652</v>
      </c>
      <c r="B249" s="38" t="s">
        <v>636</v>
      </c>
      <c r="C249" s="38"/>
      <c r="D249" s="37"/>
      <c r="E249" s="37"/>
      <c r="F249" s="10" t="s">
        <v>10</v>
      </c>
      <c r="G249" s="10">
        <f>SUM(G250:G268)</f>
        <v>0</v>
      </c>
      <c r="H249" s="10"/>
      <c r="I249" s="29"/>
      <c r="J249" s="29">
        <f>SUM(J250:J268)</f>
        <v>0</v>
      </c>
    </row>
    <row r="250" spans="1:10" hidden="1" outlineLevel="1" x14ac:dyDescent="0.25">
      <c r="A250" s="9" t="s">
        <v>713</v>
      </c>
      <c r="B250" s="22"/>
      <c r="C250" s="22"/>
      <c r="D250" s="5" t="s">
        <v>8</v>
      </c>
      <c r="E250" s="5" t="s">
        <v>9</v>
      </c>
      <c r="F250" s="7" t="str">
        <f>VLOOKUP($E250,'Приложение 4'!$B$2:$C$10,2,FALSE)</f>
        <v>т</v>
      </c>
      <c r="G250" s="5"/>
      <c r="H250" s="5"/>
      <c r="I250" s="30">
        <v>0</v>
      </c>
      <c r="J250" s="30">
        <f t="shared" si="4"/>
        <v>0</v>
      </c>
    </row>
    <row r="251" spans="1:10" hidden="1" outlineLevel="1" x14ac:dyDescent="0.25">
      <c r="A251" s="9" t="s">
        <v>714</v>
      </c>
      <c r="B251" s="22"/>
      <c r="C251" s="22"/>
      <c r="D251" s="5" t="s">
        <v>8</v>
      </c>
      <c r="E251" s="5" t="s">
        <v>9</v>
      </c>
      <c r="F251" s="7" t="str">
        <f>VLOOKUP($E251,'Приложение 4'!$B$2:$C$10,2,FALSE)</f>
        <v>т</v>
      </c>
      <c r="G251" s="5"/>
      <c r="H251" s="5"/>
      <c r="I251" s="30">
        <v>0</v>
      </c>
      <c r="J251" s="30">
        <f t="shared" si="4"/>
        <v>0</v>
      </c>
    </row>
    <row r="252" spans="1:10" hidden="1" outlineLevel="1" x14ac:dyDescent="0.25">
      <c r="A252" s="9" t="s">
        <v>715</v>
      </c>
      <c r="B252" s="22"/>
      <c r="C252" s="22"/>
      <c r="D252" s="5" t="s">
        <v>8</v>
      </c>
      <c r="E252" s="5" t="s">
        <v>9</v>
      </c>
      <c r="F252" s="7" t="str">
        <f>VLOOKUP($E252,'Приложение 4'!$B$2:$C$10,2,FALSE)</f>
        <v>т</v>
      </c>
      <c r="G252" s="5"/>
      <c r="H252" s="5"/>
      <c r="I252" s="30">
        <v>0</v>
      </c>
      <c r="J252" s="30">
        <f t="shared" si="4"/>
        <v>0</v>
      </c>
    </row>
    <row r="253" spans="1:10" hidden="1" outlineLevel="1" x14ac:dyDescent="0.25">
      <c r="A253" s="9" t="s">
        <v>716</v>
      </c>
      <c r="B253" s="22"/>
      <c r="C253" s="22"/>
      <c r="D253" s="5" t="s">
        <v>8</v>
      </c>
      <c r="E253" s="5" t="s">
        <v>9</v>
      </c>
      <c r="F253" s="7" t="str">
        <f>VLOOKUP($E253,'Приложение 4'!$B$2:$C$10,2,FALSE)</f>
        <v>т</v>
      </c>
      <c r="G253" s="5"/>
      <c r="H253" s="5"/>
      <c r="I253" s="30">
        <v>0</v>
      </c>
      <c r="J253" s="30">
        <f t="shared" si="4"/>
        <v>0</v>
      </c>
    </row>
    <row r="254" spans="1:10" hidden="1" outlineLevel="1" x14ac:dyDescent="0.25">
      <c r="A254" s="9" t="s">
        <v>717</v>
      </c>
      <c r="B254" s="22"/>
      <c r="C254" s="22"/>
      <c r="D254" s="5" t="s">
        <v>8</v>
      </c>
      <c r="E254" s="5" t="s">
        <v>9</v>
      </c>
      <c r="F254" s="7" t="str">
        <f>VLOOKUP($E254,'Приложение 4'!$B$2:$C$10,2,FALSE)</f>
        <v>т</v>
      </c>
      <c r="G254" s="5"/>
      <c r="H254" s="5"/>
      <c r="I254" s="30">
        <v>0</v>
      </c>
      <c r="J254" s="30">
        <f t="shared" si="4"/>
        <v>0</v>
      </c>
    </row>
    <row r="255" spans="1:10" hidden="1" outlineLevel="1" x14ac:dyDescent="0.25">
      <c r="A255" s="9" t="s">
        <v>718</v>
      </c>
      <c r="B255" s="22"/>
      <c r="C255" s="22"/>
      <c r="D255" s="5" t="s">
        <v>8</v>
      </c>
      <c r="E255" s="5" t="s">
        <v>9</v>
      </c>
      <c r="F255" s="7" t="str">
        <f>VLOOKUP($E255,'Приложение 4'!$B$2:$C$10,2,FALSE)</f>
        <v>т</v>
      </c>
      <c r="G255" s="5"/>
      <c r="H255" s="5"/>
      <c r="I255" s="30">
        <v>0</v>
      </c>
      <c r="J255" s="30">
        <f t="shared" si="4"/>
        <v>0</v>
      </c>
    </row>
    <row r="256" spans="1:10" hidden="1" outlineLevel="1" x14ac:dyDescent="0.25">
      <c r="A256" s="9" t="s">
        <v>719</v>
      </c>
      <c r="B256" s="22"/>
      <c r="C256" s="22"/>
      <c r="D256" s="5" t="s">
        <v>8</v>
      </c>
      <c r="E256" s="5" t="s">
        <v>9</v>
      </c>
      <c r="F256" s="7" t="str">
        <f>VLOOKUP($E256,'Приложение 4'!$B$2:$C$10,2,FALSE)</f>
        <v>т</v>
      </c>
      <c r="G256" s="5"/>
      <c r="H256" s="5"/>
      <c r="I256" s="30">
        <v>0</v>
      </c>
      <c r="J256" s="30">
        <f t="shared" si="4"/>
        <v>0</v>
      </c>
    </row>
    <row r="257" spans="1:10" hidden="1" outlineLevel="1" x14ac:dyDescent="0.25">
      <c r="A257" s="9" t="s">
        <v>720</v>
      </c>
      <c r="B257" s="22"/>
      <c r="C257" s="22"/>
      <c r="D257" s="5" t="s">
        <v>8</v>
      </c>
      <c r="E257" s="5" t="s">
        <v>9</v>
      </c>
      <c r="F257" s="7" t="str">
        <f>VLOOKUP($E257,'Приложение 4'!$B$2:$C$10,2,FALSE)</f>
        <v>т</v>
      </c>
      <c r="G257" s="5"/>
      <c r="H257" s="5"/>
      <c r="I257" s="30">
        <v>0</v>
      </c>
      <c r="J257" s="30">
        <f t="shared" si="4"/>
        <v>0</v>
      </c>
    </row>
    <row r="258" spans="1:10" hidden="1" outlineLevel="1" x14ac:dyDescent="0.25">
      <c r="A258" s="9" t="s">
        <v>721</v>
      </c>
      <c r="B258" s="22"/>
      <c r="C258" s="22"/>
      <c r="D258" s="5" t="s">
        <v>8</v>
      </c>
      <c r="E258" s="5" t="s">
        <v>9</v>
      </c>
      <c r="F258" s="7" t="str">
        <f>VLOOKUP($E258,'Приложение 4'!$B$2:$C$10,2,FALSE)</f>
        <v>т</v>
      </c>
      <c r="G258" s="5"/>
      <c r="H258" s="5"/>
      <c r="I258" s="30">
        <v>0</v>
      </c>
      <c r="J258" s="30">
        <f t="shared" si="4"/>
        <v>0</v>
      </c>
    </row>
    <row r="259" spans="1:10" hidden="1" outlineLevel="1" x14ac:dyDescent="0.25">
      <c r="A259" s="9" t="s">
        <v>722</v>
      </c>
      <c r="B259" s="22"/>
      <c r="C259" s="22"/>
      <c r="D259" s="5" t="s">
        <v>8</v>
      </c>
      <c r="E259" s="5" t="s">
        <v>9</v>
      </c>
      <c r="F259" s="7" t="str">
        <f>VLOOKUP($E259,'Приложение 4'!$B$2:$C$10,2,FALSE)</f>
        <v>т</v>
      </c>
      <c r="G259" s="5"/>
      <c r="H259" s="5"/>
      <c r="I259" s="30">
        <v>0</v>
      </c>
      <c r="J259" s="30">
        <f t="shared" si="4"/>
        <v>0</v>
      </c>
    </row>
    <row r="260" spans="1:10" hidden="1" outlineLevel="1" x14ac:dyDescent="0.25">
      <c r="A260" s="9" t="s">
        <v>723</v>
      </c>
      <c r="B260" s="22"/>
      <c r="C260" s="22"/>
      <c r="D260" s="5" t="s">
        <v>8</v>
      </c>
      <c r="E260" s="5" t="s">
        <v>9</v>
      </c>
      <c r="F260" s="7" t="str">
        <f>VLOOKUP($E260,'Приложение 4'!$B$2:$C$10,2,FALSE)</f>
        <v>т</v>
      </c>
      <c r="G260" s="5"/>
      <c r="H260" s="5"/>
      <c r="I260" s="30">
        <v>0</v>
      </c>
      <c r="J260" s="30">
        <f t="shared" si="4"/>
        <v>0</v>
      </c>
    </row>
    <row r="261" spans="1:10" hidden="1" outlineLevel="1" x14ac:dyDescent="0.25">
      <c r="A261" s="9" t="s">
        <v>724</v>
      </c>
      <c r="B261" s="22"/>
      <c r="C261" s="22"/>
      <c r="D261" s="5" t="s">
        <v>8</v>
      </c>
      <c r="E261" s="5" t="s">
        <v>9</v>
      </c>
      <c r="F261" s="7" t="str">
        <f>VLOOKUP($E261,'Приложение 4'!$B$2:$C$10,2,FALSE)</f>
        <v>т</v>
      </c>
      <c r="G261" s="5"/>
      <c r="H261" s="5"/>
      <c r="I261" s="30">
        <v>0</v>
      </c>
      <c r="J261" s="30">
        <f t="shared" si="4"/>
        <v>0</v>
      </c>
    </row>
    <row r="262" spans="1:10" hidden="1" outlineLevel="1" x14ac:dyDescent="0.25">
      <c r="A262" s="9" t="s">
        <v>725</v>
      </c>
      <c r="B262" s="22"/>
      <c r="C262" s="22"/>
      <c r="D262" s="5" t="s">
        <v>8</v>
      </c>
      <c r="E262" s="5" t="s">
        <v>9</v>
      </c>
      <c r="F262" s="7" t="str">
        <f>VLOOKUP($E262,'Приложение 4'!$B$2:$C$10,2,FALSE)</f>
        <v>т</v>
      </c>
      <c r="G262" s="5"/>
      <c r="H262" s="5"/>
      <c r="I262" s="30">
        <v>0</v>
      </c>
      <c r="J262" s="30">
        <f t="shared" si="4"/>
        <v>0</v>
      </c>
    </row>
    <row r="263" spans="1:10" hidden="1" outlineLevel="1" x14ac:dyDescent="0.25">
      <c r="A263" s="9" t="s">
        <v>726</v>
      </c>
      <c r="B263" s="22"/>
      <c r="C263" s="22"/>
      <c r="D263" s="5" t="s">
        <v>8</v>
      </c>
      <c r="E263" s="5" t="s">
        <v>9</v>
      </c>
      <c r="F263" s="7" t="str">
        <f>VLOOKUP($E263,'Приложение 4'!$B$2:$C$10,2,FALSE)</f>
        <v>т</v>
      </c>
      <c r="G263" s="5"/>
      <c r="H263" s="5"/>
      <c r="I263" s="30">
        <v>0</v>
      </c>
      <c r="J263" s="30">
        <f t="shared" si="4"/>
        <v>0</v>
      </c>
    </row>
    <row r="264" spans="1:10" hidden="1" outlineLevel="1" x14ac:dyDescent="0.25">
      <c r="A264" s="9" t="s">
        <v>727</v>
      </c>
      <c r="B264" s="22"/>
      <c r="C264" s="22"/>
      <c r="D264" s="5" t="s">
        <v>8</v>
      </c>
      <c r="E264" s="5" t="s">
        <v>9</v>
      </c>
      <c r="F264" s="7" t="str">
        <f>VLOOKUP($E264,'Приложение 4'!$B$2:$C$10,2,FALSE)</f>
        <v>т</v>
      </c>
      <c r="G264" s="5"/>
      <c r="H264" s="5"/>
      <c r="I264" s="30">
        <v>0</v>
      </c>
      <c r="J264" s="30">
        <f t="shared" si="4"/>
        <v>0</v>
      </c>
    </row>
    <row r="265" spans="1:10" hidden="1" outlineLevel="1" x14ac:dyDescent="0.25">
      <c r="A265" s="9" t="s">
        <v>728</v>
      </c>
      <c r="B265" s="22"/>
      <c r="C265" s="22"/>
      <c r="D265" s="5" t="s">
        <v>8</v>
      </c>
      <c r="E265" s="5" t="s">
        <v>9</v>
      </c>
      <c r="F265" s="7" t="str">
        <f>VLOOKUP($E265,'Приложение 4'!$B$2:$C$10,2,FALSE)</f>
        <v>т</v>
      </c>
      <c r="G265" s="5"/>
      <c r="H265" s="5"/>
      <c r="I265" s="30">
        <v>0</v>
      </c>
      <c r="J265" s="30">
        <f t="shared" si="4"/>
        <v>0</v>
      </c>
    </row>
    <row r="266" spans="1:10" hidden="1" outlineLevel="1" x14ac:dyDescent="0.25">
      <c r="A266" s="9" t="s">
        <v>729</v>
      </c>
      <c r="B266" s="22"/>
      <c r="C266" s="22"/>
      <c r="D266" s="5" t="s">
        <v>8</v>
      </c>
      <c r="E266" s="5" t="s">
        <v>9</v>
      </c>
      <c r="F266" s="7" t="str">
        <f>VLOOKUP($E266,'Приложение 4'!$B$2:$C$10,2,FALSE)</f>
        <v>т</v>
      </c>
      <c r="G266" s="5"/>
      <c r="H266" s="5"/>
      <c r="I266" s="30">
        <v>0</v>
      </c>
      <c r="J266" s="30">
        <f t="shared" si="4"/>
        <v>0</v>
      </c>
    </row>
    <row r="267" spans="1:10" hidden="1" outlineLevel="1" x14ac:dyDescent="0.25">
      <c r="A267" s="9" t="s">
        <v>730</v>
      </c>
      <c r="B267" s="22"/>
      <c r="C267" s="22"/>
      <c r="D267" s="5" t="s">
        <v>8</v>
      </c>
      <c r="E267" s="5" t="s">
        <v>9</v>
      </c>
      <c r="F267" s="7" t="str">
        <f>VLOOKUP($E267,'Приложение 4'!$B$2:$C$10,2,FALSE)</f>
        <v>т</v>
      </c>
      <c r="G267" s="5"/>
      <c r="H267" s="5"/>
      <c r="I267" s="30">
        <v>0</v>
      </c>
      <c r="J267" s="30">
        <f t="shared" si="4"/>
        <v>0</v>
      </c>
    </row>
    <row r="268" spans="1:10" hidden="1" outlineLevel="1" x14ac:dyDescent="0.25">
      <c r="A268" s="9" t="s">
        <v>731</v>
      </c>
      <c r="B268" s="22"/>
      <c r="C268" s="22"/>
      <c r="D268" s="5" t="s">
        <v>8</v>
      </c>
      <c r="E268" s="5" t="s">
        <v>9</v>
      </c>
      <c r="F268" s="7" t="str">
        <f>VLOOKUP($E268,'Приложение 4'!$B$2:$C$10,2,FALSE)</f>
        <v>т</v>
      </c>
      <c r="G268" s="5"/>
      <c r="H268" s="5"/>
      <c r="I268" s="30">
        <v>0</v>
      </c>
      <c r="J268" s="30">
        <f t="shared" si="4"/>
        <v>0</v>
      </c>
    </row>
    <row r="269" spans="1:10" ht="18.75" collapsed="1" x14ac:dyDescent="0.25">
      <c r="A269" s="10" t="s">
        <v>653</v>
      </c>
      <c r="B269" s="38" t="s">
        <v>650</v>
      </c>
      <c r="C269" s="38"/>
      <c r="D269" s="37"/>
      <c r="E269" s="37"/>
      <c r="F269" s="10" t="s">
        <v>651</v>
      </c>
      <c r="G269" s="10">
        <f>SUM(G270:G288)</f>
        <v>7173.6</v>
      </c>
      <c r="H269" s="10"/>
      <c r="I269" s="29"/>
      <c r="J269" s="29">
        <f>SUM(J270:J288)</f>
        <v>0</v>
      </c>
    </row>
    <row r="270" spans="1:10" ht="47.25" hidden="1" outlineLevel="1" x14ac:dyDescent="0.25">
      <c r="A270" s="9" t="s">
        <v>732</v>
      </c>
      <c r="B270" s="22" t="s">
        <v>811</v>
      </c>
      <c r="C270" s="22" t="s">
        <v>809</v>
      </c>
      <c r="D270" s="5" t="s">
        <v>8</v>
      </c>
      <c r="E270" s="5" t="s">
        <v>17</v>
      </c>
      <c r="F270" s="7" t="str">
        <f>VLOOKUP($E270,'Приложение 4'!$B$2:$C$10,2,FALSE)</f>
        <v>м²</v>
      </c>
      <c r="G270" s="5">
        <v>550</v>
      </c>
      <c r="H270" s="5" t="s">
        <v>826</v>
      </c>
      <c r="I270" s="30">
        <v>0</v>
      </c>
      <c r="J270" s="30">
        <f t="shared" si="4"/>
        <v>0</v>
      </c>
    </row>
    <row r="271" spans="1:10" ht="60" hidden="1" outlineLevel="1" x14ac:dyDescent="0.25">
      <c r="A271" s="9" t="s">
        <v>733</v>
      </c>
      <c r="B271" s="22" t="s">
        <v>811</v>
      </c>
      <c r="C271" s="22" t="s">
        <v>810</v>
      </c>
      <c r="D271" s="5" t="s">
        <v>8</v>
      </c>
      <c r="E271" s="5" t="s">
        <v>17</v>
      </c>
      <c r="F271" s="7" t="str">
        <f>VLOOKUP($E271,'Приложение 4'!$B$2:$C$10,2,FALSE)</f>
        <v>м²</v>
      </c>
      <c r="G271" s="5">
        <v>550</v>
      </c>
      <c r="H271" s="5" t="s">
        <v>826</v>
      </c>
      <c r="I271" s="30">
        <v>0</v>
      </c>
      <c r="J271" s="30">
        <f t="shared" si="4"/>
        <v>0</v>
      </c>
    </row>
    <row r="272" spans="1:10" ht="45" hidden="1" outlineLevel="1" x14ac:dyDescent="0.25">
      <c r="A272" s="9" t="s">
        <v>734</v>
      </c>
      <c r="B272" s="22" t="s">
        <v>660</v>
      </c>
      <c r="C272" s="22" t="s">
        <v>812</v>
      </c>
      <c r="D272" s="5" t="s">
        <v>8</v>
      </c>
      <c r="E272" s="5" t="s">
        <v>17</v>
      </c>
      <c r="F272" s="7" t="str">
        <f>VLOOKUP($E272,'Приложение 4'!$B$2:$C$10,2,FALSE)</f>
        <v>м²</v>
      </c>
      <c r="G272" s="5">
        <v>183.4</v>
      </c>
      <c r="H272" s="5" t="s">
        <v>31</v>
      </c>
      <c r="I272" s="30">
        <v>0</v>
      </c>
      <c r="J272" s="30">
        <f t="shared" si="4"/>
        <v>0</v>
      </c>
    </row>
    <row r="273" spans="1:10" ht="60" hidden="1" outlineLevel="1" x14ac:dyDescent="0.25">
      <c r="A273" s="9" t="s">
        <v>735</v>
      </c>
      <c r="B273" s="22" t="s">
        <v>660</v>
      </c>
      <c r="C273" s="22" t="s">
        <v>813</v>
      </c>
      <c r="D273" s="5" t="s">
        <v>8</v>
      </c>
      <c r="E273" s="5" t="s">
        <v>17</v>
      </c>
      <c r="F273" s="7" t="str">
        <f>VLOOKUP($E273,'Приложение 4'!$B$2:$C$10,2,FALSE)</f>
        <v>м²</v>
      </c>
      <c r="G273" s="5">
        <v>183.4</v>
      </c>
      <c r="H273" s="5" t="s">
        <v>31</v>
      </c>
      <c r="I273" s="30">
        <v>0</v>
      </c>
      <c r="J273" s="30">
        <f t="shared" si="4"/>
        <v>0</v>
      </c>
    </row>
    <row r="274" spans="1:10" ht="45" hidden="1" outlineLevel="1" x14ac:dyDescent="0.25">
      <c r="A274" s="9" t="s">
        <v>736</v>
      </c>
      <c r="B274" s="22" t="s">
        <v>661</v>
      </c>
      <c r="C274" s="22" t="s">
        <v>814</v>
      </c>
      <c r="D274" s="5" t="s">
        <v>8</v>
      </c>
      <c r="E274" s="5" t="s">
        <v>17</v>
      </c>
      <c r="F274" s="7" t="str">
        <f>VLOOKUP($E274,'Приложение 4'!$B$2:$C$10,2,FALSE)</f>
        <v>м²</v>
      </c>
      <c r="G274" s="5">
        <v>183.4</v>
      </c>
      <c r="H274" s="5" t="s">
        <v>31</v>
      </c>
      <c r="I274" s="30">
        <v>0</v>
      </c>
      <c r="J274" s="30">
        <f t="shared" si="4"/>
        <v>0</v>
      </c>
    </row>
    <row r="275" spans="1:10" ht="60" hidden="1" outlineLevel="1" x14ac:dyDescent="0.25">
      <c r="A275" s="9" t="s">
        <v>737</v>
      </c>
      <c r="B275" s="22" t="s">
        <v>661</v>
      </c>
      <c r="C275" s="22" t="s">
        <v>815</v>
      </c>
      <c r="D275" s="5" t="s">
        <v>8</v>
      </c>
      <c r="E275" s="5" t="s">
        <v>17</v>
      </c>
      <c r="F275" s="7" t="str">
        <f>VLOOKUP($E275,'Приложение 4'!$B$2:$C$10,2,FALSE)</f>
        <v>м²</v>
      </c>
      <c r="G275" s="5">
        <v>183.4</v>
      </c>
      <c r="H275" s="5" t="s">
        <v>31</v>
      </c>
      <c r="I275" s="30">
        <v>0</v>
      </c>
      <c r="J275" s="30">
        <f t="shared" si="4"/>
        <v>0</v>
      </c>
    </row>
    <row r="276" spans="1:10" ht="49.5" hidden="1" outlineLevel="1" x14ac:dyDescent="0.25">
      <c r="A276" s="9" t="s">
        <v>738</v>
      </c>
      <c r="B276" s="22" t="s">
        <v>817</v>
      </c>
      <c r="C276" s="22" t="s">
        <v>816</v>
      </c>
      <c r="D276" s="5" t="s">
        <v>8</v>
      </c>
      <c r="E276" s="5" t="s">
        <v>17</v>
      </c>
      <c r="F276" s="7" t="str">
        <f>VLOOKUP($E276,'Приложение 4'!$B$2:$C$10,2,FALSE)</f>
        <v>м²</v>
      </c>
      <c r="G276" s="5">
        <v>1425</v>
      </c>
      <c r="H276" s="5" t="s">
        <v>28</v>
      </c>
      <c r="I276" s="30">
        <v>0</v>
      </c>
      <c r="J276" s="30">
        <f t="shared" si="4"/>
        <v>0</v>
      </c>
    </row>
    <row r="277" spans="1:10" ht="47.25" hidden="1" outlineLevel="1" x14ac:dyDescent="0.25">
      <c r="A277" s="9" t="s">
        <v>739</v>
      </c>
      <c r="B277" s="22" t="s">
        <v>817</v>
      </c>
      <c r="C277" s="22" t="s">
        <v>819</v>
      </c>
      <c r="D277" s="5" t="s">
        <v>8</v>
      </c>
      <c r="E277" s="5" t="s">
        <v>17</v>
      </c>
      <c r="F277" s="7" t="str">
        <f>VLOOKUP($E277,'Приложение 4'!$B$2:$C$10,2,FALSE)</f>
        <v>м²</v>
      </c>
      <c r="G277" s="5">
        <v>1425</v>
      </c>
      <c r="H277" s="5" t="s">
        <v>28</v>
      </c>
      <c r="I277" s="30">
        <v>0</v>
      </c>
      <c r="J277" s="30">
        <f t="shared" si="4"/>
        <v>0</v>
      </c>
    </row>
    <row r="278" spans="1:10" ht="30" hidden="1" outlineLevel="1" x14ac:dyDescent="0.25">
      <c r="A278" s="9" t="s">
        <v>740</v>
      </c>
      <c r="B278" s="22" t="s">
        <v>71</v>
      </c>
      <c r="C278" s="22" t="s">
        <v>818</v>
      </c>
      <c r="D278" s="5" t="s">
        <v>8</v>
      </c>
      <c r="E278" s="5" t="s">
        <v>17</v>
      </c>
      <c r="F278" s="7" t="str">
        <f>VLOOKUP($E278,'Приложение 4'!$B$2:$C$10,2,FALSE)</f>
        <v>м²</v>
      </c>
      <c r="G278" s="5">
        <v>85</v>
      </c>
      <c r="H278" s="5" t="s">
        <v>32</v>
      </c>
      <c r="I278" s="30">
        <v>0</v>
      </c>
      <c r="J278" s="30">
        <f t="shared" si="4"/>
        <v>0</v>
      </c>
    </row>
    <row r="279" spans="1:10" ht="45" hidden="1" outlineLevel="1" x14ac:dyDescent="0.25">
      <c r="A279" s="9" t="s">
        <v>741</v>
      </c>
      <c r="B279" s="22" t="s">
        <v>71</v>
      </c>
      <c r="C279" s="22" t="s">
        <v>824</v>
      </c>
      <c r="D279" s="5" t="s">
        <v>8</v>
      </c>
      <c r="E279" s="5" t="s">
        <v>17</v>
      </c>
      <c r="F279" s="7" t="str">
        <f>VLOOKUP($E279,'Приложение 4'!$B$2:$C$10,2,FALSE)</f>
        <v>м²</v>
      </c>
      <c r="G279" s="5">
        <v>85</v>
      </c>
      <c r="H279" s="5" t="s">
        <v>32</v>
      </c>
      <c r="I279" s="30">
        <v>0</v>
      </c>
      <c r="J279" s="30">
        <f t="shared" si="4"/>
        <v>0</v>
      </c>
    </row>
    <row r="280" spans="1:10" ht="30" hidden="1" outlineLevel="1" x14ac:dyDescent="0.25">
      <c r="A280" s="9" t="s">
        <v>742</v>
      </c>
      <c r="B280" s="22" t="s">
        <v>77</v>
      </c>
      <c r="C280" s="22" t="s">
        <v>820</v>
      </c>
      <c r="D280" s="5" t="s">
        <v>8</v>
      </c>
      <c r="E280" s="5" t="s">
        <v>17</v>
      </c>
      <c r="F280" s="7" t="str">
        <f>VLOOKUP($E280,'Приложение 4'!$B$2:$C$10,2,FALSE)</f>
        <v>м²</v>
      </c>
      <c r="G280" s="5">
        <v>85</v>
      </c>
      <c r="H280" s="5" t="s">
        <v>32</v>
      </c>
      <c r="I280" s="30">
        <v>0</v>
      </c>
      <c r="J280" s="30">
        <f t="shared" si="4"/>
        <v>0</v>
      </c>
    </row>
    <row r="281" spans="1:10" ht="45" hidden="1" outlineLevel="1" x14ac:dyDescent="0.25">
      <c r="A281" s="9" t="s">
        <v>743</v>
      </c>
      <c r="B281" s="22" t="s">
        <v>77</v>
      </c>
      <c r="C281" s="22" t="s">
        <v>822</v>
      </c>
      <c r="D281" s="5" t="s">
        <v>8</v>
      </c>
      <c r="E281" s="5" t="s">
        <v>17</v>
      </c>
      <c r="F281" s="7" t="str">
        <f>VLOOKUP($E281,'Приложение 4'!$B$2:$C$10,2,FALSE)</f>
        <v>м²</v>
      </c>
      <c r="G281" s="5">
        <v>85</v>
      </c>
      <c r="H281" s="5" t="s">
        <v>32</v>
      </c>
      <c r="I281" s="30">
        <v>0</v>
      </c>
      <c r="J281" s="30">
        <f t="shared" si="4"/>
        <v>0</v>
      </c>
    </row>
    <row r="282" spans="1:10" ht="49.5" hidden="1" outlineLevel="1" x14ac:dyDescent="0.25">
      <c r="A282" s="9" t="s">
        <v>744</v>
      </c>
      <c r="B282" s="22" t="s">
        <v>825</v>
      </c>
      <c r="C282" s="22" t="s">
        <v>821</v>
      </c>
      <c r="D282" s="5" t="s">
        <v>8</v>
      </c>
      <c r="E282" s="5" t="s">
        <v>17</v>
      </c>
      <c r="F282" s="7" t="str">
        <f>VLOOKUP($E282,'Приложение 4'!$B$2:$C$10,2,FALSE)</f>
        <v>м²</v>
      </c>
      <c r="G282" s="5">
        <v>1075</v>
      </c>
      <c r="H282" s="5" t="s">
        <v>28</v>
      </c>
      <c r="I282" s="30">
        <v>0</v>
      </c>
      <c r="J282" s="30">
        <f t="shared" si="4"/>
        <v>0</v>
      </c>
    </row>
    <row r="283" spans="1:10" ht="47.25" hidden="1" outlineLevel="1" x14ac:dyDescent="0.25">
      <c r="A283" s="9" t="s">
        <v>745</v>
      </c>
      <c r="B283" s="22" t="s">
        <v>825</v>
      </c>
      <c r="C283" s="22" t="s">
        <v>823</v>
      </c>
      <c r="D283" s="5" t="s">
        <v>8</v>
      </c>
      <c r="E283" s="5" t="s">
        <v>17</v>
      </c>
      <c r="F283" s="7" t="str">
        <f>VLOOKUP($E283,'Приложение 4'!$B$2:$C$10,2,FALSE)</f>
        <v>м²</v>
      </c>
      <c r="G283" s="5">
        <v>1075</v>
      </c>
      <c r="H283" s="5" t="s">
        <v>28</v>
      </c>
      <c r="I283" s="30">
        <v>0</v>
      </c>
      <c r="J283" s="30">
        <f t="shared" si="4"/>
        <v>0</v>
      </c>
    </row>
    <row r="284" spans="1:10" hidden="1" outlineLevel="1" x14ac:dyDescent="0.25">
      <c r="A284" s="9" t="s">
        <v>746</v>
      </c>
      <c r="B284" s="22"/>
      <c r="C284" s="22"/>
      <c r="D284" s="5"/>
      <c r="E284" s="5" t="s">
        <v>17</v>
      </c>
      <c r="F284" s="7" t="str">
        <f>VLOOKUP($E284,'Приложение 4'!$B$2:$C$10,2,FALSE)</f>
        <v>м²</v>
      </c>
      <c r="G284" s="5"/>
      <c r="H284" s="5"/>
      <c r="I284" s="30">
        <v>0</v>
      </c>
      <c r="J284" s="30">
        <f t="shared" si="4"/>
        <v>0</v>
      </c>
    </row>
    <row r="285" spans="1:10" hidden="1" outlineLevel="1" x14ac:dyDescent="0.25">
      <c r="A285" s="9" t="s">
        <v>747</v>
      </c>
      <c r="B285" s="22"/>
      <c r="C285" s="22"/>
      <c r="D285" s="5"/>
      <c r="E285" s="5" t="s">
        <v>17</v>
      </c>
      <c r="F285" s="7" t="str">
        <f>VLOOKUP($E285,'Приложение 4'!$B$2:$C$10,2,FALSE)</f>
        <v>м²</v>
      </c>
      <c r="G285" s="5"/>
      <c r="H285" s="5"/>
      <c r="I285" s="30">
        <v>0</v>
      </c>
      <c r="J285" s="30">
        <f t="shared" si="4"/>
        <v>0</v>
      </c>
    </row>
    <row r="286" spans="1:10" hidden="1" outlineLevel="1" x14ac:dyDescent="0.25">
      <c r="A286" s="9" t="s">
        <v>748</v>
      </c>
      <c r="B286" s="22"/>
      <c r="C286" s="22"/>
      <c r="D286" s="5"/>
      <c r="E286" s="5" t="s">
        <v>17</v>
      </c>
      <c r="F286" s="7" t="str">
        <f>VLOOKUP($E286,'Приложение 4'!$B$2:$C$10,2,FALSE)</f>
        <v>м²</v>
      </c>
      <c r="G286" s="5"/>
      <c r="H286" s="5"/>
      <c r="I286" s="30">
        <v>0</v>
      </c>
      <c r="J286" s="30">
        <f t="shared" si="4"/>
        <v>0</v>
      </c>
    </row>
    <row r="287" spans="1:10" hidden="1" outlineLevel="1" x14ac:dyDescent="0.25">
      <c r="A287" s="9" t="s">
        <v>749</v>
      </c>
      <c r="B287" s="22"/>
      <c r="C287" s="22"/>
      <c r="D287" s="5"/>
      <c r="E287" s="5" t="s">
        <v>17</v>
      </c>
      <c r="F287" s="7" t="str">
        <f>VLOOKUP($E287,'Приложение 4'!$B$2:$C$10,2,FALSE)</f>
        <v>м²</v>
      </c>
      <c r="G287" s="5"/>
      <c r="H287" s="5"/>
      <c r="I287" s="30">
        <v>0</v>
      </c>
      <c r="J287" s="30">
        <f t="shared" si="4"/>
        <v>0</v>
      </c>
    </row>
    <row r="288" spans="1:10" hidden="1" outlineLevel="1" x14ac:dyDescent="0.25">
      <c r="A288" s="9" t="s">
        <v>750</v>
      </c>
      <c r="B288" s="22"/>
      <c r="C288" s="22"/>
      <c r="D288" s="5"/>
      <c r="E288" s="5" t="s">
        <v>17</v>
      </c>
      <c r="F288" s="7" t="str">
        <f>VLOOKUP($E288,'Приложение 4'!$B$2:$C$10,2,FALSE)</f>
        <v>м²</v>
      </c>
      <c r="G288" s="5"/>
      <c r="H288" s="5"/>
      <c r="I288" s="30">
        <v>0</v>
      </c>
      <c r="J288" s="30">
        <f t="shared" si="4"/>
        <v>0</v>
      </c>
    </row>
    <row r="289" spans="1:10" ht="18.75" collapsed="1" x14ac:dyDescent="0.25">
      <c r="A289" s="10" t="s">
        <v>654</v>
      </c>
      <c r="B289" s="38" t="s">
        <v>847</v>
      </c>
      <c r="C289" s="38"/>
      <c r="D289" s="37"/>
      <c r="E289" s="37"/>
      <c r="F289" s="10" t="s">
        <v>651</v>
      </c>
      <c r="G289" s="10">
        <f>SUM(G290:G308)</f>
        <v>1902.5</v>
      </c>
      <c r="H289" s="10"/>
      <c r="I289" s="29"/>
      <c r="J289" s="29">
        <f>SUM(J290:J308)</f>
        <v>0</v>
      </c>
    </row>
    <row r="290" spans="1:10" ht="32.25" hidden="1" outlineLevel="1" x14ac:dyDescent="0.25">
      <c r="A290" s="9" t="s">
        <v>751</v>
      </c>
      <c r="B290" s="22"/>
      <c r="C290" s="22" t="s">
        <v>836</v>
      </c>
      <c r="D290" s="5" t="s">
        <v>8</v>
      </c>
      <c r="E290" s="5" t="s">
        <v>22</v>
      </c>
      <c r="F290" s="7" t="str">
        <f>VLOOKUP($E290,'Приложение 4'!$B$2:$C$10,2,FALSE)</f>
        <v>м²</v>
      </c>
      <c r="G290" s="5">
        <v>667</v>
      </c>
      <c r="H290" s="5" t="s">
        <v>23</v>
      </c>
      <c r="I290" s="30">
        <v>0</v>
      </c>
      <c r="J290" s="30">
        <f t="shared" si="4"/>
        <v>0</v>
      </c>
    </row>
    <row r="291" spans="1:10" ht="30" hidden="1" outlineLevel="1" x14ac:dyDescent="0.25">
      <c r="A291" s="9" t="s">
        <v>752</v>
      </c>
      <c r="B291" s="22"/>
      <c r="C291" s="22" t="s">
        <v>837</v>
      </c>
      <c r="D291" s="5" t="s">
        <v>8</v>
      </c>
      <c r="E291" s="5" t="s">
        <v>22</v>
      </c>
      <c r="F291" s="7" t="str">
        <f>VLOOKUP($E291,'Приложение 4'!$B$2:$C$10,2,FALSE)</f>
        <v>м²</v>
      </c>
      <c r="G291" s="5">
        <v>176.4</v>
      </c>
      <c r="H291" s="5" t="s">
        <v>23</v>
      </c>
      <c r="I291" s="30">
        <v>0</v>
      </c>
      <c r="J291" s="30">
        <f t="shared" ref="J291:J349" si="5">G291*I291</f>
        <v>0</v>
      </c>
    </row>
    <row r="292" spans="1:10" ht="30" hidden="1" outlineLevel="1" x14ac:dyDescent="0.25">
      <c r="A292" s="9" t="s">
        <v>753</v>
      </c>
      <c r="B292" s="22"/>
      <c r="C292" s="22" t="s">
        <v>838</v>
      </c>
      <c r="D292" s="5" t="s">
        <v>8</v>
      </c>
      <c r="E292" s="5" t="s">
        <v>22</v>
      </c>
      <c r="F292" s="7" t="str">
        <f>VLOOKUP($E292,'Приложение 4'!$B$2:$C$10,2,FALSE)</f>
        <v>м²</v>
      </c>
      <c r="G292" s="5">
        <v>454.5</v>
      </c>
      <c r="H292" s="5" t="s">
        <v>25</v>
      </c>
      <c r="I292" s="30">
        <v>0</v>
      </c>
      <c r="J292" s="30">
        <f t="shared" si="5"/>
        <v>0</v>
      </c>
    </row>
    <row r="293" spans="1:10" ht="30" hidden="1" outlineLevel="1" x14ac:dyDescent="0.25">
      <c r="A293" s="9" t="s">
        <v>754</v>
      </c>
      <c r="B293" s="22"/>
      <c r="C293" s="22" t="s">
        <v>839</v>
      </c>
      <c r="D293" s="5" t="s">
        <v>8</v>
      </c>
      <c r="E293" s="5" t="s">
        <v>22</v>
      </c>
      <c r="F293" s="7" t="str">
        <f>VLOOKUP($E293,'Приложение 4'!$B$2:$C$10,2,FALSE)</f>
        <v>м²</v>
      </c>
      <c r="G293" s="5">
        <v>87.6</v>
      </c>
      <c r="H293" s="5" t="s">
        <v>25</v>
      </c>
      <c r="I293" s="30">
        <v>0</v>
      </c>
      <c r="J293" s="30">
        <f t="shared" si="5"/>
        <v>0</v>
      </c>
    </row>
    <row r="294" spans="1:10" ht="30" hidden="1" outlineLevel="1" x14ac:dyDescent="0.25">
      <c r="A294" s="9" t="s">
        <v>755</v>
      </c>
      <c r="B294" s="22"/>
      <c r="C294" s="22" t="s">
        <v>842</v>
      </c>
      <c r="D294" s="5" t="s">
        <v>8</v>
      </c>
      <c r="E294" s="5" t="s">
        <v>22</v>
      </c>
      <c r="F294" s="7" t="str">
        <f>VLOOKUP($E294,'Приложение 4'!$B$2:$C$10,2,FALSE)</f>
        <v>м²</v>
      </c>
      <c r="G294" s="5">
        <v>7</v>
      </c>
      <c r="H294" s="5" t="s">
        <v>30</v>
      </c>
      <c r="I294" s="30">
        <v>0</v>
      </c>
      <c r="J294" s="30">
        <f t="shared" si="5"/>
        <v>0</v>
      </c>
    </row>
    <row r="295" spans="1:10" ht="30" hidden="1" outlineLevel="1" x14ac:dyDescent="0.25">
      <c r="A295" s="9" t="s">
        <v>756</v>
      </c>
      <c r="B295" s="22"/>
      <c r="C295" s="22" t="s">
        <v>840</v>
      </c>
      <c r="D295" s="5" t="s">
        <v>8</v>
      </c>
      <c r="E295" s="5" t="s">
        <v>22</v>
      </c>
      <c r="F295" s="7" t="str">
        <f>VLOOKUP($E295,'Приложение 4'!$B$2:$C$10,2,FALSE)</f>
        <v>м²</v>
      </c>
      <c r="G295" s="5">
        <v>350</v>
      </c>
      <c r="H295" s="5" t="s">
        <v>28</v>
      </c>
      <c r="I295" s="30">
        <v>0</v>
      </c>
      <c r="J295" s="30">
        <f t="shared" si="5"/>
        <v>0</v>
      </c>
    </row>
    <row r="296" spans="1:10" ht="30" hidden="1" outlineLevel="1" x14ac:dyDescent="0.25">
      <c r="A296" s="9" t="s">
        <v>757</v>
      </c>
      <c r="B296" s="22"/>
      <c r="C296" s="22" t="s">
        <v>841</v>
      </c>
      <c r="D296" s="5" t="s">
        <v>8</v>
      </c>
      <c r="E296" s="5" t="s">
        <v>22</v>
      </c>
      <c r="F296" s="7" t="str">
        <f>VLOOKUP($E296,'Приложение 4'!$B$2:$C$10,2,FALSE)</f>
        <v>м²</v>
      </c>
      <c r="G296" s="5">
        <v>160</v>
      </c>
      <c r="H296" s="5" t="s">
        <v>28</v>
      </c>
      <c r="I296" s="30">
        <v>0</v>
      </c>
      <c r="J296" s="30">
        <f t="shared" si="5"/>
        <v>0</v>
      </c>
    </row>
    <row r="297" spans="1:10" ht="30" hidden="1" outlineLevel="1" x14ac:dyDescent="0.25">
      <c r="A297" s="9" t="s">
        <v>758</v>
      </c>
      <c r="B297" s="22"/>
      <c r="C297" s="22"/>
      <c r="D297" s="5"/>
      <c r="E297" s="5" t="s">
        <v>22</v>
      </c>
      <c r="F297" s="7" t="str">
        <f>VLOOKUP($E297,'Приложение 4'!$B$2:$C$10,2,FALSE)</f>
        <v>м²</v>
      </c>
      <c r="G297" s="5"/>
      <c r="H297" s="5"/>
      <c r="I297" s="30">
        <v>0</v>
      </c>
      <c r="J297" s="30">
        <f t="shared" si="5"/>
        <v>0</v>
      </c>
    </row>
    <row r="298" spans="1:10" ht="30" hidden="1" outlineLevel="1" x14ac:dyDescent="0.25">
      <c r="A298" s="9" t="s">
        <v>759</v>
      </c>
      <c r="B298" s="22"/>
      <c r="C298" s="22"/>
      <c r="D298" s="5"/>
      <c r="E298" s="5" t="s">
        <v>22</v>
      </c>
      <c r="F298" s="7" t="str">
        <f>VLOOKUP($E298,'Приложение 4'!$B$2:$C$10,2,FALSE)</f>
        <v>м²</v>
      </c>
      <c r="G298" s="5"/>
      <c r="H298" s="5"/>
      <c r="I298" s="30">
        <v>0</v>
      </c>
      <c r="J298" s="30">
        <f t="shared" si="5"/>
        <v>0</v>
      </c>
    </row>
    <row r="299" spans="1:10" ht="30" hidden="1" outlineLevel="1" x14ac:dyDescent="0.25">
      <c r="A299" s="9" t="s">
        <v>760</v>
      </c>
      <c r="B299" s="22"/>
      <c r="C299" s="22"/>
      <c r="D299" s="5"/>
      <c r="E299" s="5" t="s">
        <v>22</v>
      </c>
      <c r="F299" s="7" t="str">
        <f>VLOOKUP($E299,'Приложение 4'!$B$2:$C$10,2,FALSE)</f>
        <v>м²</v>
      </c>
      <c r="G299" s="5"/>
      <c r="H299" s="5"/>
      <c r="I299" s="30">
        <v>0</v>
      </c>
      <c r="J299" s="30">
        <f t="shared" si="5"/>
        <v>0</v>
      </c>
    </row>
    <row r="300" spans="1:10" ht="30" hidden="1" outlineLevel="1" x14ac:dyDescent="0.25">
      <c r="A300" s="9" t="s">
        <v>761</v>
      </c>
      <c r="B300" s="22"/>
      <c r="C300" s="22"/>
      <c r="D300" s="5"/>
      <c r="E300" s="5" t="s">
        <v>22</v>
      </c>
      <c r="F300" s="7" t="str">
        <f>VLOOKUP($E300,'Приложение 4'!$B$2:$C$10,2,FALSE)</f>
        <v>м²</v>
      </c>
      <c r="G300" s="5"/>
      <c r="H300" s="5"/>
      <c r="I300" s="30">
        <v>0</v>
      </c>
      <c r="J300" s="30">
        <f t="shared" si="5"/>
        <v>0</v>
      </c>
    </row>
    <row r="301" spans="1:10" ht="30" hidden="1" outlineLevel="1" x14ac:dyDescent="0.25">
      <c r="A301" s="9" t="s">
        <v>762</v>
      </c>
      <c r="B301" s="22"/>
      <c r="C301" s="22"/>
      <c r="D301" s="5"/>
      <c r="E301" s="5" t="s">
        <v>22</v>
      </c>
      <c r="F301" s="7" t="str">
        <f>VLOOKUP($E301,'Приложение 4'!$B$2:$C$10,2,FALSE)</f>
        <v>м²</v>
      </c>
      <c r="G301" s="5"/>
      <c r="H301" s="5"/>
      <c r="I301" s="30">
        <v>0</v>
      </c>
      <c r="J301" s="30">
        <f t="shared" si="5"/>
        <v>0</v>
      </c>
    </row>
    <row r="302" spans="1:10" ht="30" hidden="1" outlineLevel="1" x14ac:dyDescent="0.25">
      <c r="A302" s="9" t="s">
        <v>763</v>
      </c>
      <c r="B302" s="22"/>
      <c r="C302" s="22"/>
      <c r="D302" s="5"/>
      <c r="E302" s="5" t="s">
        <v>22</v>
      </c>
      <c r="F302" s="7" t="str">
        <f>VLOOKUP($E302,'Приложение 4'!$B$2:$C$10,2,FALSE)</f>
        <v>м²</v>
      </c>
      <c r="G302" s="5"/>
      <c r="H302" s="5"/>
      <c r="I302" s="30">
        <v>0</v>
      </c>
      <c r="J302" s="30">
        <f t="shared" si="5"/>
        <v>0</v>
      </c>
    </row>
    <row r="303" spans="1:10" ht="30" hidden="1" outlineLevel="1" x14ac:dyDescent="0.25">
      <c r="A303" s="9" t="s">
        <v>764</v>
      </c>
      <c r="B303" s="22"/>
      <c r="C303" s="22"/>
      <c r="D303" s="5"/>
      <c r="E303" s="5" t="s">
        <v>22</v>
      </c>
      <c r="F303" s="7" t="str">
        <f>VLOOKUP($E303,'Приложение 4'!$B$2:$C$10,2,FALSE)</f>
        <v>м²</v>
      </c>
      <c r="G303" s="5"/>
      <c r="H303" s="5"/>
      <c r="I303" s="30">
        <v>0</v>
      </c>
      <c r="J303" s="30">
        <f t="shared" si="5"/>
        <v>0</v>
      </c>
    </row>
    <row r="304" spans="1:10" ht="30" hidden="1" outlineLevel="1" x14ac:dyDescent="0.25">
      <c r="A304" s="9" t="s">
        <v>765</v>
      </c>
      <c r="B304" s="22"/>
      <c r="C304" s="22"/>
      <c r="D304" s="5"/>
      <c r="E304" s="5" t="s">
        <v>22</v>
      </c>
      <c r="F304" s="7" t="str">
        <f>VLOOKUP($E304,'Приложение 4'!$B$2:$C$10,2,FALSE)</f>
        <v>м²</v>
      </c>
      <c r="G304" s="5"/>
      <c r="H304" s="5"/>
      <c r="I304" s="30">
        <v>0</v>
      </c>
      <c r="J304" s="30">
        <f t="shared" si="5"/>
        <v>0</v>
      </c>
    </row>
    <row r="305" spans="1:10" ht="30" hidden="1" outlineLevel="1" x14ac:dyDescent="0.25">
      <c r="A305" s="9" t="s">
        <v>766</v>
      </c>
      <c r="B305" s="22"/>
      <c r="C305" s="22"/>
      <c r="D305" s="5"/>
      <c r="E305" s="5" t="s">
        <v>22</v>
      </c>
      <c r="F305" s="7" t="str">
        <f>VLOOKUP($E305,'Приложение 4'!$B$2:$C$10,2,FALSE)</f>
        <v>м²</v>
      </c>
      <c r="G305" s="5"/>
      <c r="H305" s="5"/>
      <c r="I305" s="30">
        <v>0</v>
      </c>
      <c r="J305" s="30">
        <f t="shared" si="5"/>
        <v>0</v>
      </c>
    </row>
    <row r="306" spans="1:10" ht="30" hidden="1" outlineLevel="1" x14ac:dyDescent="0.25">
      <c r="A306" s="9" t="s">
        <v>767</v>
      </c>
      <c r="B306" s="22"/>
      <c r="C306" s="22"/>
      <c r="D306" s="5"/>
      <c r="E306" s="5" t="s">
        <v>22</v>
      </c>
      <c r="F306" s="7" t="str">
        <f>VLOOKUP($E306,'Приложение 4'!$B$2:$C$10,2,FALSE)</f>
        <v>м²</v>
      </c>
      <c r="G306" s="5"/>
      <c r="H306" s="5"/>
      <c r="I306" s="30">
        <v>0</v>
      </c>
      <c r="J306" s="30">
        <f t="shared" si="5"/>
        <v>0</v>
      </c>
    </row>
    <row r="307" spans="1:10" ht="30" hidden="1" outlineLevel="1" x14ac:dyDescent="0.25">
      <c r="A307" s="9" t="s">
        <v>768</v>
      </c>
      <c r="B307" s="22"/>
      <c r="C307" s="22"/>
      <c r="D307" s="5"/>
      <c r="E307" s="5" t="s">
        <v>22</v>
      </c>
      <c r="F307" s="7" t="str">
        <f>VLOOKUP($E307,'Приложение 4'!$B$2:$C$10,2,FALSE)</f>
        <v>м²</v>
      </c>
      <c r="G307" s="5"/>
      <c r="H307" s="5"/>
      <c r="I307" s="30">
        <v>0</v>
      </c>
      <c r="J307" s="30">
        <f t="shared" si="5"/>
        <v>0</v>
      </c>
    </row>
    <row r="308" spans="1:10" ht="30" hidden="1" outlineLevel="1" x14ac:dyDescent="0.25">
      <c r="A308" s="9" t="s">
        <v>769</v>
      </c>
      <c r="B308" s="22"/>
      <c r="C308" s="22"/>
      <c r="D308" s="5"/>
      <c r="E308" s="5" t="s">
        <v>22</v>
      </c>
      <c r="F308" s="7" t="str">
        <f>VLOOKUP($E308,'Приложение 4'!$B$2:$C$10,2,FALSE)</f>
        <v>м²</v>
      </c>
      <c r="G308" s="5"/>
      <c r="H308" s="5"/>
      <c r="I308" s="30">
        <v>0</v>
      </c>
      <c r="J308" s="30">
        <f t="shared" si="5"/>
        <v>0</v>
      </c>
    </row>
    <row r="309" spans="1:10" ht="18.75" collapsed="1" x14ac:dyDescent="0.25">
      <c r="A309" s="10" t="s">
        <v>655</v>
      </c>
      <c r="B309" s="38" t="s">
        <v>658</v>
      </c>
      <c r="C309" s="38"/>
      <c r="D309" s="37"/>
      <c r="E309" s="37"/>
      <c r="F309" s="10" t="s">
        <v>659</v>
      </c>
      <c r="G309" s="10">
        <f>SUM(G310:G328)</f>
        <v>1248.4199999999998</v>
      </c>
      <c r="H309" s="10"/>
      <c r="I309" s="29"/>
      <c r="J309" s="29">
        <f>SUM(J310:J329)</f>
        <v>0</v>
      </c>
    </row>
    <row r="310" spans="1:10" ht="45" hidden="1" outlineLevel="1" x14ac:dyDescent="0.25">
      <c r="A310" s="9" t="s">
        <v>770</v>
      </c>
      <c r="B310" s="22"/>
      <c r="C310" s="22" t="s">
        <v>851</v>
      </c>
      <c r="D310" s="5" t="s">
        <v>11</v>
      </c>
      <c r="E310" s="5" t="s">
        <v>12</v>
      </c>
      <c r="F310" s="7" t="str">
        <f>VLOOKUP($E310,'Приложение 4'!$B$2:$C$10,2,FALSE)</f>
        <v>м³</v>
      </c>
      <c r="G310" s="5">
        <v>491.15</v>
      </c>
      <c r="H310" s="5" t="s">
        <v>848</v>
      </c>
      <c r="I310" s="30">
        <v>0</v>
      </c>
      <c r="J310" s="30">
        <f t="shared" si="5"/>
        <v>0</v>
      </c>
    </row>
    <row r="311" spans="1:10" ht="30" hidden="1" outlineLevel="1" x14ac:dyDescent="0.25">
      <c r="A311" s="9" t="s">
        <v>771</v>
      </c>
      <c r="B311" s="22"/>
      <c r="C311" s="22" t="s">
        <v>852</v>
      </c>
      <c r="D311" s="5" t="s">
        <v>11</v>
      </c>
      <c r="E311" s="5" t="s">
        <v>12</v>
      </c>
      <c r="F311" s="7" t="str">
        <f>VLOOKUP($E311,'Приложение 4'!$B$2:$C$10,2,FALSE)</f>
        <v>м³</v>
      </c>
      <c r="G311" s="5">
        <v>192.65</v>
      </c>
      <c r="H311" s="5" t="s">
        <v>849</v>
      </c>
      <c r="I311" s="30">
        <v>0</v>
      </c>
      <c r="J311" s="30">
        <f t="shared" si="5"/>
        <v>0</v>
      </c>
    </row>
    <row r="312" spans="1:10" ht="30" hidden="1" outlineLevel="1" x14ac:dyDescent="0.25">
      <c r="A312" s="9" t="s">
        <v>772</v>
      </c>
      <c r="B312" s="22"/>
      <c r="C312" s="22" t="s">
        <v>853</v>
      </c>
      <c r="D312" s="5" t="s">
        <v>11</v>
      </c>
      <c r="E312" s="5" t="s">
        <v>12</v>
      </c>
      <c r="F312" s="7" t="str">
        <f>VLOOKUP($E312,'Приложение 4'!$B$2:$C$10,2,FALSE)</f>
        <v>м³</v>
      </c>
      <c r="G312" s="5">
        <v>548</v>
      </c>
      <c r="H312" s="5" t="s">
        <v>850</v>
      </c>
      <c r="I312" s="30">
        <v>0</v>
      </c>
      <c r="J312" s="30">
        <f t="shared" si="5"/>
        <v>0</v>
      </c>
    </row>
    <row r="313" spans="1:10" ht="30" hidden="1" outlineLevel="1" x14ac:dyDescent="0.25">
      <c r="A313" s="9" t="s">
        <v>773</v>
      </c>
      <c r="B313" s="22"/>
      <c r="C313" s="22" t="s">
        <v>854</v>
      </c>
      <c r="D313" s="5" t="s">
        <v>11</v>
      </c>
      <c r="E313" s="5" t="s">
        <v>12</v>
      </c>
      <c r="F313" s="7" t="str">
        <f>VLOOKUP($E313,'Приложение 4'!$B$2:$C$10,2,FALSE)</f>
        <v>м³</v>
      </c>
      <c r="G313" s="5"/>
      <c r="H313" s="5" t="s">
        <v>28</v>
      </c>
      <c r="I313" s="30">
        <v>0</v>
      </c>
      <c r="J313" s="30">
        <f t="shared" si="5"/>
        <v>0</v>
      </c>
    </row>
    <row r="314" spans="1:10" ht="45" hidden="1" outlineLevel="1" x14ac:dyDescent="0.25">
      <c r="A314" s="9" t="s">
        <v>774</v>
      </c>
      <c r="B314" s="22"/>
      <c r="C314" s="22" t="s">
        <v>855</v>
      </c>
      <c r="D314" s="5" t="s">
        <v>11</v>
      </c>
      <c r="E314" s="5" t="s">
        <v>12</v>
      </c>
      <c r="F314" s="7" t="str">
        <f>VLOOKUP($E314,'Приложение 4'!$B$2:$C$10,2,FALSE)</f>
        <v>м³</v>
      </c>
      <c r="G314" s="5"/>
      <c r="H314" s="5" t="s">
        <v>28</v>
      </c>
      <c r="I314" s="30">
        <v>0</v>
      </c>
      <c r="J314" s="30">
        <f t="shared" si="5"/>
        <v>0</v>
      </c>
    </row>
    <row r="315" spans="1:10" ht="45" hidden="1" outlineLevel="1" x14ac:dyDescent="0.25">
      <c r="A315" s="9" t="s">
        <v>775</v>
      </c>
      <c r="B315" s="22"/>
      <c r="C315" s="22" t="s">
        <v>856</v>
      </c>
      <c r="D315" s="5" t="s">
        <v>11</v>
      </c>
      <c r="E315" s="5" t="s">
        <v>12</v>
      </c>
      <c r="F315" s="7" t="str">
        <f>VLOOKUP($E315,'Приложение 4'!$B$2:$C$10,2,FALSE)</f>
        <v>м³</v>
      </c>
      <c r="G315" s="5"/>
      <c r="H315" s="5" t="s">
        <v>28</v>
      </c>
      <c r="I315" s="30">
        <v>0</v>
      </c>
      <c r="J315" s="30">
        <f t="shared" si="5"/>
        <v>0</v>
      </c>
    </row>
    <row r="316" spans="1:10" ht="30" hidden="1" outlineLevel="1" x14ac:dyDescent="0.25">
      <c r="A316" s="9" t="s">
        <v>776</v>
      </c>
      <c r="B316" s="22"/>
      <c r="C316" s="22" t="s">
        <v>857</v>
      </c>
      <c r="D316" s="5" t="s">
        <v>11</v>
      </c>
      <c r="E316" s="5" t="s">
        <v>12</v>
      </c>
      <c r="F316" s="7" t="str">
        <f>VLOOKUP($E316,'Приложение 4'!$B$2:$C$10,2,FALSE)</f>
        <v>м³</v>
      </c>
      <c r="G316" s="5"/>
      <c r="H316" s="5" t="s">
        <v>28</v>
      </c>
      <c r="I316" s="30">
        <v>0</v>
      </c>
      <c r="J316" s="30">
        <f t="shared" si="5"/>
        <v>0</v>
      </c>
    </row>
    <row r="317" spans="1:10" ht="30" hidden="1" outlineLevel="1" x14ac:dyDescent="0.25">
      <c r="A317" s="9" t="s">
        <v>777</v>
      </c>
      <c r="B317" s="22"/>
      <c r="C317" s="22" t="s">
        <v>858</v>
      </c>
      <c r="D317" s="5" t="s">
        <v>11</v>
      </c>
      <c r="E317" s="5" t="s">
        <v>12</v>
      </c>
      <c r="F317" s="7" t="str">
        <f>VLOOKUP($E317,'Приложение 4'!$B$2:$C$10,2,FALSE)</f>
        <v>м³</v>
      </c>
      <c r="G317" s="5"/>
      <c r="H317" s="5" t="s">
        <v>28</v>
      </c>
      <c r="I317" s="30">
        <v>0</v>
      </c>
      <c r="J317" s="30">
        <f t="shared" si="5"/>
        <v>0</v>
      </c>
    </row>
    <row r="318" spans="1:10" ht="45" hidden="1" outlineLevel="1" x14ac:dyDescent="0.25">
      <c r="A318" s="9" t="s">
        <v>778</v>
      </c>
      <c r="B318" s="22"/>
      <c r="C318" s="22" t="s">
        <v>859</v>
      </c>
      <c r="D318" s="5" t="s">
        <v>11</v>
      </c>
      <c r="E318" s="5" t="s">
        <v>12</v>
      </c>
      <c r="F318" s="7" t="str">
        <f>VLOOKUP($E318,'Приложение 4'!$B$2:$C$10,2,FALSE)</f>
        <v>м³</v>
      </c>
      <c r="G318" s="5"/>
      <c r="H318" s="5" t="s">
        <v>28</v>
      </c>
      <c r="I318" s="30">
        <v>0</v>
      </c>
      <c r="J318" s="30">
        <f t="shared" si="5"/>
        <v>0</v>
      </c>
    </row>
    <row r="319" spans="1:10" ht="30" hidden="1" outlineLevel="1" x14ac:dyDescent="0.25">
      <c r="A319" s="9" t="s">
        <v>779</v>
      </c>
      <c r="B319" s="22"/>
      <c r="C319" s="22" t="s">
        <v>860</v>
      </c>
      <c r="D319" s="5" t="s">
        <v>11</v>
      </c>
      <c r="E319" s="5" t="s">
        <v>12</v>
      </c>
      <c r="F319" s="7" t="str">
        <f>VLOOKUP($E319,'Приложение 4'!$B$2:$C$10,2,FALSE)</f>
        <v>м³</v>
      </c>
      <c r="G319" s="5">
        <v>13</v>
      </c>
      <c r="H319" s="5" t="s">
        <v>861</v>
      </c>
      <c r="I319" s="30">
        <v>0</v>
      </c>
      <c r="J319" s="30">
        <f t="shared" si="5"/>
        <v>0</v>
      </c>
    </row>
    <row r="320" spans="1:10" ht="30" hidden="1" outlineLevel="1" x14ac:dyDescent="0.25">
      <c r="A320" s="9" t="s">
        <v>780</v>
      </c>
      <c r="B320" s="22"/>
      <c r="C320" s="22" t="s">
        <v>875</v>
      </c>
      <c r="D320" s="5" t="s">
        <v>11</v>
      </c>
      <c r="E320" s="5" t="s">
        <v>12</v>
      </c>
      <c r="F320" s="7" t="str">
        <f>VLOOKUP($E320,'Приложение 4'!$B$2:$C$10,2,FALSE)</f>
        <v>м³</v>
      </c>
      <c r="G320" s="5">
        <v>3.62</v>
      </c>
      <c r="H320" s="5" t="s">
        <v>876</v>
      </c>
      <c r="I320" s="30">
        <v>0</v>
      </c>
      <c r="J320" s="30">
        <f t="shared" si="5"/>
        <v>0</v>
      </c>
    </row>
    <row r="321" spans="1:10" ht="30" hidden="1" outlineLevel="1" x14ac:dyDescent="0.25">
      <c r="A321" s="9" t="s">
        <v>781</v>
      </c>
      <c r="B321" s="22"/>
      <c r="C321" s="22"/>
      <c r="D321" s="5"/>
      <c r="E321" s="5" t="s">
        <v>12</v>
      </c>
      <c r="F321" s="7" t="str">
        <f>VLOOKUP($E321,'Приложение 4'!$B$2:$C$10,2,FALSE)</f>
        <v>м³</v>
      </c>
      <c r="G321" s="5"/>
      <c r="H321" s="5"/>
      <c r="I321" s="30">
        <v>0</v>
      </c>
      <c r="J321" s="30">
        <f t="shared" si="5"/>
        <v>0</v>
      </c>
    </row>
    <row r="322" spans="1:10" ht="30" hidden="1" outlineLevel="1" x14ac:dyDescent="0.25">
      <c r="A322" s="9" t="s">
        <v>782</v>
      </c>
      <c r="B322" s="22"/>
      <c r="C322" s="22"/>
      <c r="D322" s="5"/>
      <c r="E322" s="5" t="s">
        <v>12</v>
      </c>
      <c r="F322" s="7" t="str">
        <f>VLOOKUP($E322,'Приложение 4'!$B$2:$C$10,2,FALSE)</f>
        <v>м³</v>
      </c>
      <c r="G322" s="5"/>
      <c r="H322" s="5"/>
      <c r="I322" s="30">
        <v>0</v>
      </c>
      <c r="J322" s="30">
        <f t="shared" si="5"/>
        <v>0</v>
      </c>
    </row>
    <row r="323" spans="1:10" ht="30" hidden="1" outlineLevel="1" x14ac:dyDescent="0.25">
      <c r="A323" s="9" t="s">
        <v>783</v>
      </c>
      <c r="B323" s="22"/>
      <c r="C323" s="22"/>
      <c r="D323" s="5"/>
      <c r="E323" s="5" t="s">
        <v>12</v>
      </c>
      <c r="F323" s="7" t="str">
        <f>VLOOKUP($E323,'Приложение 4'!$B$2:$C$10,2,FALSE)</f>
        <v>м³</v>
      </c>
      <c r="G323" s="5"/>
      <c r="H323" s="5"/>
      <c r="I323" s="30">
        <v>0</v>
      </c>
      <c r="J323" s="30">
        <f t="shared" si="5"/>
        <v>0</v>
      </c>
    </row>
    <row r="324" spans="1:10" ht="30" hidden="1" outlineLevel="1" x14ac:dyDescent="0.25">
      <c r="A324" s="9" t="s">
        <v>784</v>
      </c>
      <c r="B324" s="22"/>
      <c r="C324" s="22"/>
      <c r="D324" s="5"/>
      <c r="E324" s="5" t="s">
        <v>12</v>
      </c>
      <c r="F324" s="7" t="str">
        <f>VLOOKUP($E324,'Приложение 4'!$B$2:$C$10,2,FALSE)</f>
        <v>м³</v>
      </c>
      <c r="G324" s="5"/>
      <c r="H324" s="5"/>
      <c r="I324" s="30">
        <v>0</v>
      </c>
      <c r="J324" s="30">
        <f t="shared" si="5"/>
        <v>0</v>
      </c>
    </row>
    <row r="325" spans="1:10" ht="30" hidden="1" outlineLevel="1" x14ac:dyDescent="0.25">
      <c r="A325" s="9" t="s">
        <v>785</v>
      </c>
      <c r="B325" s="22"/>
      <c r="C325" s="22"/>
      <c r="D325" s="5"/>
      <c r="E325" s="5" t="s">
        <v>12</v>
      </c>
      <c r="F325" s="7" t="str">
        <f>VLOOKUP($E325,'Приложение 4'!$B$2:$C$10,2,FALSE)</f>
        <v>м³</v>
      </c>
      <c r="G325" s="5"/>
      <c r="H325" s="5"/>
      <c r="I325" s="30">
        <v>0</v>
      </c>
      <c r="J325" s="30">
        <f t="shared" si="5"/>
        <v>0</v>
      </c>
    </row>
    <row r="326" spans="1:10" ht="30" hidden="1" outlineLevel="1" x14ac:dyDescent="0.25">
      <c r="A326" s="9" t="s">
        <v>786</v>
      </c>
      <c r="B326" s="22"/>
      <c r="C326" s="22"/>
      <c r="D326" s="5"/>
      <c r="E326" s="5" t="s">
        <v>12</v>
      </c>
      <c r="F326" s="7" t="str">
        <f>VLOOKUP($E326,'Приложение 4'!$B$2:$C$10,2,FALSE)</f>
        <v>м³</v>
      </c>
      <c r="G326" s="5"/>
      <c r="H326" s="5"/>
      <c r="I326" s="30">
        <v>0</v>
      </c>
      <c r="J326" s="30">
        <f t="shared" si="5"/>
        <v>0</v>
      </c>
    </row>
    <row r="327" spans="1:10" ht="30" hidden="1" outlineLevel="1" x14ac:dyDescent="0.25">
      <c r="A327" s="9" t="s">
        <v>787</v>
      </c>
      <c r="B327" s="22"/>
      <c r="C327" s="22"/>
      <c r="D327" s="5"/>
      <c r="E327" s="5" t="s">
        <v>12</v>
      </c>
      <c r="F327" s="7" t="str">
        <f>VLOOKUP($E327,'Приложение 4'!$B$2:$C$10,2,FALSE)</f>
        <v>м³</v>
      </c>
      <c r="G327" s="5"/>
      <c r="H327" s="5"/>
      <c r="I327" s="30">
        <v>0</v>
      </c>
      <c r="J327" s="30">
        <f t="shared" si="5"/>
        <v>0</v>
      </c>
    </row>
    <row r="328" spans="1:10" ht="30" hidden="1" outlineLevel="1" x14ac:dyDescent="0.25">
      <c r="A328" s="9" t="s">
        <v>788</v>
      </c>
      <c r="B328" s="22"/>
      <c r="C328" s="22"/>
      <c r="D328" s="5"/>
      <c r="E328" s="5" t="s">
        <v>12</v>
      </c>
      <c r="F328" s="7" t="str">
        <f>VLOOKUP($E328,'Приложение 4'!$B$2:$C$10,2,FALSE)</f>
        <v>м³</v>
      </c>
      <c r="G328" s="5"/>
      <c r="H328" s="5"/>
      <c r="I328" s="30">
        <v>0</v>
      </c>
      <c r="J328" s="30">
        <f t="shared" si="5"/>
        <v>0</v>
      </c>
    </row>
    <row r="329" spans="1:10" ht="30" hidden="1" outlineLevel="1" x14ac:dyDescent="0.25">
      <c r="A329" s="9" t="s">
        <v>789</v>
      </c>
      <c r="B329" s="22"/>
      <c r="C329" s="22"/>
      <c r="D329" s="5"/>
      <c r="E329" s="5" t="s">
        <v>12</v>
      </c>
      <c r="F329" s="7" t="str">
        <f>VLOOKUP($E329,'Приложение 4'!$B$2:$C$10,2,FALSE)</f>
        <v>м³</v>
      </c>
      <c r="G329" s="5"/>
      <c r="H329" s="5"/>
      <c r="I329" s="30">
        <v>0</v>
      </c>
      <c r="J329" s="30">
        <f t="shared" si="5"/>
        <v>0</v>
      </c>
    </row>
    <row r="330" spans="1:10" ht="18.75" x14ac:dyDescent="0.25">
      <c r="A330" s="10" t="s">
        <v>657</v>
      </c>
      <c r="B330" s="38" t="s">
        <v>666</v>
      </c>
      <c r="C330" s="38"/>
      <c r="D330" s="37"/>
      <c r="E330" s="37"/>
      <c r="F330" s="10" t="s">
        <v>884</v>
      </c>
      <c r="G330" s="10"/>
      <c r="H330" s="10"/>
      <c r="I330" s="29"/>
      <c r="J330" s="29">
        <f>SUM(J331:J349)</f>
        <v>0</v>
      </c>
    </row>
    <row r="331" spans="1:10" ht="30" outlineLevel="1" x14ac:dyDescent="0.25">
      <c r="A331" s="9" t="s">
        <v>790</v>
      </c>
      <c r="B331" s="5"/>
      <c r="C331" s="5" t="s">
        <v>880</v>
      </c>
      <c r="D331" s="5" t="s">
        <v>8</v>
      </c>
      <c r="E331" s="5" t="s">
        <v>21</v>
      </c>
      <c r="F331" s="7" t="str">
        <f>VLOOKUP($E331,'Приложение 4'!$B$2:$C$10,2,FALSE)</f>
        <v>к-т</v>
      </c>
      <c r="G331" s="5">
        <v>1</v>
      </c>
      <c r="H331" s="5" t="s">
        <v>28</v>
      </c>
      <c r="I331" s="30">
        <v>0</v>
      </c>
      <c r="J331" s="30">
        <f t="shared" si="5"/>
        <v>0</v>
      </c>
    </row>
    <row r="332" spans="1:10" ht="30" outlineLevel="1" x14ac:dyDescent="0.25">
      <c r="A332" s="9" t="s">
        <v>791</v>
      </c>
      <c r="B332" s="5"/>
      <c r="C332" s="5" t="s">
        <v>881</v>
      </c>
      <c r="D332" s="5" t="s">
        <v>8</v>
      </c>
      <c r="E332" s="5" t="s">
        <v>21</v>
      </c>
      <c r="F332" s="7" t="str">
        <f>VLOOKUP($E332,'Приложение 4'!$B$2:$C$10,2,FALSE)</f>
        <v>к-т</v>
      </c>
      <c r="G332" s="5">
        <v>1</v>
      </c>
      <c r="H332" s="5" t="s">
        <v>28</v>
      </c>
      <c r="I332" s="30">
        <v>0</v>
      </c>
      <c r="J332" s="30">
        <f t="shared" si="5"/>
        <v>0</v>
      </c>
    </row>
    <row r="333" spans="1:10" ht="30" outlineLevel="1" x14ac:dyDescent="0.25">
      <c r="A333" s="9" t="s">
        <v>792</v>
      </c>
      <c r="B333" s="5"/>
      <c r="C333" s="5" t="s">
        <v>882</v>
      </c>
      <c r="D333" s="5" t="s">
        <v>8</v>
      </c>
      <c r="E333" s="5" t="s">
        <v>21</v>
      </c>
      <c r="F333" s="7" t="str">
        <f>VLOOKUP($E333,'Приложение 4'!$B$2:$C$10,2,FALSE)</f>
        <v>к-т</v>
      </c>
      <c r="G333" s="5">
        <v>1</v>
      </c>
      <c r="H333" s="5" t="s">
        <v>28</v>
      </c>
      <c r="I333" s="30">
        <v>0</v>
      </c>
      <c r="J333" s="30">
        <f t="shared" si="5"/>
        <v>0</v>
      </c>
    </row>
    <row r="334" spans="1:10" ht="45" outlineLevel="1" x14ac:dyDescent="0.25">
      <c r="A334" s="9" t="s">
        <v>793</v>
      </c>
      <c r="B334" s="5"/>
      <c r="C334" s="5" t="s">
        <v>883</v>
      </c>
      <c r="D334" s="5" t="s">
        <v>8</v>
      </c>
      <c r="E334" s="5" t="s">
        <v>21</v>
      </c>
      <c r="F334" s="7" t="str">
        <f>VLOOKUP($E334,'Приложение 4'!$B$2:$C$10,2,FALSE)</f>
        <v>к-т</v>
      </c>
      <c r="G334" s="5">
        <v>1</v>
      </c>
      <c r="H334" s="5" t="s">
        <v>28</v>
      </c>
      <c r="I334" s="30">
        <v>0</v>
      </c>
      <c r="J334" s="30">
        <f t="shared" si="5"/>
        <v>0</v>
      </c>
    </row>
    <row r="335" spans="1:10" ht="60" outlineLevel="1" x14ac:dyDescent="0.25">
      <c r="A335" s="9" t="s">
        <v>794</v>
      </c>
      <c r="B335" s="5"/>
      <c r="C335" s="5" t="s">
        <v>33</v>
      </c>
      <c r="D335" s="5" t="s">
        <v>8</v>
      </c>
      <c r="E335" s="5" t="s">
        <v>21</v>
      </c>
      <c r="F335" s="7" t="str">
        <f>VLOOKUP($E335,'Приложение 4'!$B$2:$C$10,2,FALSE)</f>
        <v>к-т</v>
      </c>
      <c r="G335" s="5">
        <v>1</v>
      </c>
      <c r="H335" s="5" t="s">
        <v>28</v>
      </c>
      <c r="I335" s="30">
        <v>0</v>
      </c>
      <c r="J335" s="30">
        <f t="shared" si="5"/>
        <v>0</v>
      </c>
    </row>
    <row r="336" spans="1:10" ht="45" outlineLevel="1" x14ac:dyDescent="0.25">
      <c r="A336" s="9" t="s">
        <v>795</v>
      </c>
      <c r="B336" s="5"/>
      <c r="C336" s="5" t="s">
        <v>34</v>
      </c>
      <c r="D336" s="5" t="s">
        <v>8</v>
      </c>
      <c r="E336" s="5" t="s">
        <v>21</v>
      </c>
      <c r="F336" s="7" t="str">
        <f>VLOOKUP($E336,'Приложение 4'!$B$2:$C$10,2,FALSE)</f>
        <v>к-т</v>
      </c>
      <c r="G336" s="5">
        <v>1</v>
      </c>
      <c r="H336" s="5" t="s">
        <v>28</v>
      </c>
      <c r="I336" s="30">
        <v>0</v>
      </c>
      <c r="J336" s="30">
        <f t="shared" si="5"/>
        <v>0</v>
      </c>
    </row>
    <row r="337" spans="1:10" ht="30" outlineLevel="1" x14ac:dyDescent="0.25">
      <c r="A337" s="9" t="s">
        <v>796</v>
      </c>
      <c r="B337" s="5"/>
      <c r="C337" s="5" t="s">
        <v>35</v>
      </c>
      <c r="D337" s="5" t="s">
        <v>8</v>
      </c>
      <c r="E337" s="5" t="s">
        <v>21</v>
      </c>
      <c r="F337" s="7" t="str">
        <f>VLOOKUP($E337,'Приложение 4'!$B$2:$C$10,2,FALSE)</f>
        <v>к-т</v>
      </c>
      <c r="G337" s="5">
        <v>1</v>
      </c>
      <c r="H337" s="5" t="s">
        <v>28</v>
      </c>
      <c r="I337" s="30">
        <v>0</v>
      </c>
      <c r="J337" s="30">
        <f t="shared" si="5"/>
        <v>0</v>
      </c>
    </row>
    <row r="338" spans="1:10" ht="30" outlineLevel="1" x14ac:dyDescent="0.25">
      <c r="A338" s="9" t="s">
        <v>797</v>
      </c>
      <c r="B338" s="5"/>
      <c r="C338" s="5" t="s">
        <v>862</v>
      </c>
      <c r="D338" s="5" t="s">
        <v>8</v>
      </c>
      <c r="E338" s="5" t="s">
        <v>21</v>
      </c>
      <c r="F338" s="7" t="str">
        <f>VLOOKUP($E338,'Приложение 4'!$B$2:$C$10,2,FALSE)</f>
        <v>к-т</v>
      </c>
      <c r="G338" s="5">
        <v>1</v>
      </c>
      <c r="H338" s="5" t="s">
        <v>36</v>
      </c>
      <c r="I338" s="30">
        <v>0</v>
      </c>
      <c r="J338" s="30">
        <f t="shared" si="5"/>
        <v>0</v>
      </c>
    </row>
    <row r="339" spans="1:10" ht="30" outlineLevel="1" x14ac:dyDescent="0.25">
      <c r="A339" s="9" t="s">
        <v>798</v>
      </c>
      <c r="B339" s="5"/>
      <c r="C339" s="5" t="s">
        <v>863</v>
      </c>
      <c r="D339" s="5" t="s">
        <v>8</v>
      </c>
      <c r="E339" s="5" t="s">
        <v>21</v>
      </c>
      <c r="F339" s="7" t="str">
        <f>VLOOKUP($E339,'Приложение 4'!$B$2:$C$10,2,FALSE)</f>
        <v>к-т</v>
      </c>
      <c r="G339" s="5">
        <v>1</v>
      </c>
      <c r="H339" s="5" t="s">
        <v>37</v>
      </c>
      <c r="I339" s="30">
        <v>0</v>
      </c>
      <c r="J339" s="30">
        <f t="shared" si="5"/>
        <v>0</v>
      </c>
    </row>
    <row r="340" spans="1:10" ht="30" outlineLevel="1" x14ac:dyDescent="0.25">
      <c r="A340" s="9" t="s">
        <v>799</v>
      </c>
      <c r="B340" s="5"/>
      <c r="C340" s="5" t="s">
        <v>864</v>
      </c>
      <c r="D340" s="5" t="s">
        <v>8</v>
      </c>
      <c r="E340" s="5" t="s">
        <v>21</v>
      </c>
      <c r="F340" s="7" t="str">
        <f>VLOOKUP($E340,'Приложение 4'!$B$2:$C$10,2,FALSE)</f>
        <v>к-т</v>
      </c>
      <c r="G340" s="5">
        <v>1</v>
      </c>
      <c r="H340" s="5" t="s">
        <v>38</v>
      </c>
      <c r="I340" s="30">
        <v>0</v>
      </c>
      <c r="J340" s="30">
        <f t="shared" si="5"/>
        <v>0</v>
      </c>
    </row>
    <row r="341" spans="1:10" ht="30" outlineLevel="1" x14ac:dyDescent="0.25">
      <c r="A341" s="9" t="s">
        <v>800</v>
      </c>
      <c r="B341" s="5"/>
      <c r="C341" s="5"/>
      <c r="D341" s="5"/>
      <c r="E341" s="5" t="s">
        <v>21</v>
      </c>
      <c r="F341" s="7" t="str">
        <f>VLOOKUP($E341,'Приложение 4'!$B$2:$C$10,2,FALSE)</f>
        <v>к-т</v>
      </c>
      <c r="G341" s="5"/>
      <c r="H341" s="5"/>
      <c r="I341" s="30">
        <v>0</v>
      </c>
      <c r="J341" s="30">
        <f t="shared" si="5"/>
        <v>0</v>
      </c>
    </row>
    <row r="342" spans="1:10" ht="30" outlineLevel="1" x14ac:dyDescent="0.25">
      <c r="A342" s="9" t="s">
        <v>801</v>
      </c>
      <c r="B342" s="5"/>
      <c r="C342" s="5"/>
      <c r="D342" s="5"/>
      <c r="E342" s="5" t="s">
        <v>21</v>
      </c>
      <c r="F342" s="7" t="str">
        <f>VLOOKUP($E342,'Приложение 4'!$B$2:$C$10,2,FALSE)</f>
        <v>к-т</v>
      </c>
      <c r="G342" s="5"/>
      <c r="H342" s="5"/>
      <c r="I342" s="30">
        <v>0</v>
      </c>
      <c r="J342" s="30">
        <f t="shared" si="5"/>
        <v>0</v>
      </c>
    </row>
    <row r="343" spans="1:10" ht="30" outlineLevel="1" x14ac:dyDescent="0.25">
      <c r="A343" s="9" t="s">
        <v>802</v>
      </c>
      <c r="B343" s="5"/>
      <c r="C343" s="5"/>
      <c r="D343" s="5"/>
      <c r="E343" s="5" t="s">
        <v>21</v>
      </c>
      <c r="F343" s="7" t="str">
        <f>VLOOKUP($E343,'Приложение 4'!$B$2:$C$10,2,FALSE)</f>
        <v>к-т</v>
      </c>
      <c r="G343" s="5"/>
      <c r="H343" s="5"/>
      <c r="I343" s="30">
        <v>0</v>
      </c>
      <c r="J343" s="30">
        <f t="shared" si="5"/>
        <v>0</v>
      </c>
    </row>
    <row r="344" spans="1:10" ht="30" outlineLevel="1" x14ac:dyDescent="0.25">
      <c r="A344" s="9" t="s">
        <v>803</v>
      </c>
      <c r="B344" s="5"/>
      <c r="C344" s="5"/>
      <c r="D344" s="5"/>
      <c r="E344" s="5" t="s">
        <v>21</v>
      </c>
      <c r="F344" s="7" t="str">
        <f>VLOOKUP($E344,'Приложение 4'!$B$2:$C$10,2,FALSE)</f>
        <v>к-т</v>
      </c>
      <c r="G344" s="5"/>
      <c r="H344" s="5"/>
      <c r="I344" s="30">
        <v>0</v>
      </c>
      <c r="J344" s="30">
        <f t="shared" si="5"/>
        <v>0</v>
      </c>
    </row>
    <row r="345" spans="1:10" ht="30" outlineLevel="1" x14ac:dyDescent="0.25">
      <c r="A345" s="9" t="s">
        <v>804</v>
      </c>
      <c r="B345" s="5"/>
      <c r="C345" s="5"/>
      <c r="D345" s="5"/>
      <c r="E345" s="5" t="s">
        <v>21</v>
      </c>
      <c r="F345" s="7" t="str">
        <f>VLOOKUP($E345,'Приложение 4'!$B$2:$C$10,2,FALSE)</f>
        <v>к-т</v>
      </c>
      <c r="G345" s="5"/>
      <c r="H345" s="5"/>
      <c r="I345" s="30">
        <v>0</v>
      </c>
      <c r="J345" s="30">
        <f t="shared" si="5"/>
        <v>0</v>
      </c>
    </row>
    <row r="346" spans="1:10" ht="30" outlineLevel="1" x14ac:dyDescent="0.25">
      <c r="A346" s="9" t="s">
        <v>805</v>
      </c>
      <c r="B346" s="5"/>
      <c r="C346" s="5"/>
      <c r="D346" s="5"/>
      <c r="E346" s="5" t="s">
        <v>21</v>
      </c>
      <c r="F346" s="7" t="str">
        <f>VLOOKUP($E346,'Приложение 4'!$B$2:$C$10,2,FALSE)</f>
        <v>к-т</v>
      </c>
      <c r="G346" s="5"/>
      <c r="H346" s="5"/>
      <c r="I346" s="30">
        <v>0</v>
      </c>
      <c r="J346" s="30">
        <f t="shared" si="5"/>
        <v>0</v>
      </c>
    </row>
    <row r="347" spans="1:10" ht="30" outlineLevel="1" x14ac:dyDescent="0.25">
      <c r="A347" s="9" t="s">
        <v>806</v>
      </c>
      <c r="B347" s="5"/>
      <c r="C347" s="5"/>
      <c r="D347" s="5"/>
      <c r="E347" s="5" t="s">
        <v>21</v>
      </c>
      <c r="F347" s="7" t="str">
        <f>VLOOKUP($E347,'Приложение 4'!$B$2:$C$10,2,FALSE)</f>
        <v>к-т</v>
      </c>
      <c r="G347" s="5"/>
      <c r="H347" s="5"/>
      <c r="I347" s="30">
        <v>0</v>
      </c>
      <c r="J347" s="30">
        <f t="shared" si="5"/>
        <v>0</v>
      </c>
    </row>
    <row r="348" spans="1:10" ht="30" outlineLevel="1" x14ac:dyDescent="0.25">
      <c r="A348" s="9" t="s">
        <v>807</v>
      </c>
      <c r="B348" s="5"/>
      <c r="C348" s="5"/>
      <c r="D348" s="5"/>
      <c r="E348" s="5" t="s">
        <v>21</v>
      </c>
      <c r="F348" s="7" t="str">
        <f>VLOOKUP($E348,'Приложение 4'!$B$2:$C$10,2,FALSE)</f>
        <v>к-т</v>
      </c>
      <c r="G348" s="5"/>
      <c r="H348" s="5"/>
      <c r="I348" s="30">
        <v>0</v>
      </c>
      <c r="J348" s="30">
        <f t="shared" si="5"/>
        <v>0</v>
      </c>
    </row>
    <row r="349" spans="1:10" ht="30" outlineLevel="1" x14ac:dyDescent="0.25">
      <c r="A349" s="9" t="s">
        <v>808</v>
      </c>
      <c r="B349" s="5"/>
      <c r="C349" s="5"/>
      <c r="D349" s="5"/>
      <c r="E349" s="5" t="s">
        <v>21</v>
      </c>
      <c r="F349" s="7" t="str">
        <f>VLOOKUP($E349,'Приложение 4'!$B$2:$C$10,2,FALSE)</f>
        <v>к-т</v>
      </c>
      <c r="G349" s="5"/>
      <c r="H349" s="5"/>
      <c r="I349" s="30">
        <v>0</v>
      </c>
      <c r="J349" s="30">
        <f t="shared" si="5"/>
        <v>0</v>
      </c>
    </row>
    <row r="350" spans="1:10" x14ac:dyDescent="0.25">
      <c r="C350" s="6"/>
      <c r="I350" s="27" t="s">
        <v>869</v>
      </c>
      <c r="J350" s="32">
        <f>J4+J181+J201+J229+J249+J269+J289+J309+J330</f>
        <v>0</v>
      </c>
    </row>
    <row r="352" spans="1:10" ht="18.75" x14ac:dyDescent="0.25">
      <c r="C352" s="10" t="s">
        <v>39</v>
      </c>
      <c r="D352" s="10" t="s">
        <v>879</v>
      </c>
    </row>
    <row r="353" spans="3:4" ht="18.75" x14ac:dyDescent="0.25">
      <c r="C353" s="33" t="s">
        <v>15</v>
      </c>
      <c r="D353" s="34">
        <f>SUMIF(E4:E349,C353,J4:J349)</f>
        <v>0</v>
      </c>
    </row>
    <row r="354" spans="3:4" ht="18.75" x14ac:dyDescent="0.25">
      <c r="C354" s="33" t="s">
        <v>9</v>
      </c>
      <c r="D354" s="34">
        <f>SUMIF(E4:E349,C354,J4:J349)</f>
        <v>0</v>
      </c>
    </row>
    <row r="355" spans="3:4" ht="18.75" x14ac:dyDescent="0.25">
      <c r="C355" s="33" t="s">
        <v>17</v>
      </c>
      <c r="D355" s="34">
        <f>SUMIF(E4:E349,C355,J4:J349)</f>
        <v>0</v>
      </c>
    </row>
    <row r="356" spans="3:4" ht="18.75" x14ac:dyDescent="0.25">
      <c r="C356" s="33" t="s">
        <v>26</v>
      </c>
      <c r="D356" s="34">
        <f>SUMIF(E4:E349,C356,J4:J349)</f>
        <v>0</v>
      </c>
    </row>
    <row r="357" spans="3:4" ht="18.75" x14ac:dyDescent="0.25">
      <c r="C357" s="33" t="s">
        <v>21</v>
      </c>
      <c r="D357" s="34">
        <f>SUMIF(E4:E349,C357,J4:J349)</f>
        <v>0</v>
      </c>
    </row>
    <row r="358" spans="3:4" ht="18.75" x14ac:dyDescent="0.25">
      <c r="C358" s="33" t="s">
        <v>22</v>
      </c>
      <c r="D358" s="34">
        <f>SUMIF(E4:E349,C358,J4:J349)</f>
        <v>0</v>
      </c>
    </row>
    <row r="359" spans="3:4" ht="18.75" x14ac:dyDescent="0.25">
      <c r="C359" s="33" t="s">
        <v>12</v>
      </c>
      <c r="D359" s="34">
        <f>SUMIF(E4:E349,C359,J4:J349)</f>
        <v>0</v>
      </c>
    </row>
    <row r="360" spans="3:4" ht="18.75" x14ac:dyDescent="0.25">
      <c r="C360" s="35" t="s">
        <v>869</v>
      </c>
      <c r="D360" s="34">
        <f>SUM(D352:D359)</f>
        <v>0</v>
      </c>
    </row>
  </sheetData>
  <autoFilter ref="A3:H268" xr:uid="{FED2BAA3-3673-4DD5-9487-D91321F2FC37}"/>
  <mergeCells count="21">
    <mergeCell ref="G213:G224"/>
    <mergeCell ref="G202:G212"/>
    <mergeCell ref="H202:H212"/>
    <mergeCell ref="H168:H180"/>
    <mergeCell ref="H155:H167"/>
    <mergeCell ref="H213:H224"/>
    <mergeCell ref="F1:G1"/>
    <mergeCell ref="G128:G134"/>
    <mergeCell ref="G155:G167"/>
    <mergeCell ref="G168:G180"/>
    <mergeCell ref="H128:H134"/>
    <mergeCell ref="J202:J212"/>
    <mergeCell ref="I202:I212"/>
    <mergeCell ref="I213:I224"/>
    <mergeCell ref="J213:J224"/>
    <mergeCell ref="I128:I134"/>
    <mergeCell ref="J128:J134"/>
    <mergeCell ref="I155:I167"/>
    <mergeCell ref="J155:J167"/>
    <mergeCell ref="I168:I180"/>
    <mergeCell ref="J168:J180"/>
  </mergeCells>
  <phoneticPr fontId="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07B1B41-F053-4F2E-810F-D984FEB26B9E}">
          <x14:formula1>
            <xm:f>'Приложение 4'!$B$2:$B$10</xm:f>
          </x14:formula1>
          <xm:sqref>E310:E329 E5:E180 E182:E200 E230:E248 E250:E268 E202:E228 E270:E288 E290:E308 E331:E349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Приложение 4</vt:lpstr>
      <vt:lpstr>Приложение №1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Богданов</dc:creator>
  <cp:lastModifiedBy>ntulba</cp:lastModifiedBy>
  <cp:lastPrinted>2026-06-29T09:38:52Z</cp:lastPrinted>
  <dcterms:created xsi:type="dcterms:W3CDTF">2015-06-05T18:17:20Z</dcterms:created>
  <dcterms:modified xsi:type="dcterms:W3CDTF">2026-08-06T13:31:21Z</dcterms:modified>
</cp:coreProperties>
</file>