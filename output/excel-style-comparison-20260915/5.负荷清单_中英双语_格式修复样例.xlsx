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showInkAnnotation="0"/>
  <mc:AlternateContent xmlns:mc="http://schemas.openxmlformats.org/markup-compatibility/2006">
    <mc:Choice Requires="x15">
      <x15ac:absPath xmlns:x15ac="http://schemas.microsoft.com/office/spreadsheetml/2010/11/ac" url="D:\AGICO-office-tanslates-pro\.translation-jobs\style-comparison-20260915\"/>
    </mc:Choice>
  </mc:AlternateContent>
  <xr:revisionPtr revIDLastSave="0" documentId="8_{83FEE3B4-504D-4AC8-9A6C-94B95A7C2413}" xr6:coauthVersionLast="47" xr6:coauthVersionMax="47" xr10:uidLastSave="{00000000-0000-0000-0000-000000000000}"/>
  <bookViews>
    <workbookView xWindow="14715" yWindow="1080" windowWidth="18225" windowHeight="132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7" i="1" l="1"/>
  <c r="J7" i="1" s="1"/>
  <c r="F9" i="1"/>
  <c r="J9" i="1"/>
  <c r="K9" i="1" s="1"/>
  <c r="F11" i="1"/>
  <c r="J11" i="1"/>
  <c r="K11" i="1"/>
  <c r="F13" i="1"/>
  <c r="J13" i="1"/>
  <c r="K13" i="1"/>
  <c r="F15" i="1"/>
  <c r="J15" i="1" s="1"/>
  <c r="K15" i="1" s="1"/>
  <c r="F17" i="1"/>
  <c r="J17" i="1"/>
  <c r="K17" i="1"/>
  <c r="F19" i="1"/>
  <c r="J19" i="1"/>
  <c r="K19" i="1"/>
  <c r="F21" i="1"/>
  <c r="J21" i="1"/>
  <c r="K21" i="1"/>
  <c r="F27" i="1"/>
  <c r="J27" i="1"/>
  <c r="K27" i="1"/>
  <c r="F29" i="1"/>
  <c r="J29" i="1"/>
  <c r="K29" i="1" s="1"/>
  <c r="F31" i="1"/>
  <c r="J31" i="1"/>
  <c r="K31" i="1"/>
  <c r="F33" i="1"/>
  <c r="J33" i="1"/>
  <c r="K33" i="1"/>
  <c r="F39" i="1"/>
  <c r="J39" i="1" s="1"/>
  <c r="K39" i="1" s="1"/>
  <c r="F41" i="1"/>
  <c r="J41" i="1"/>
  <c r="K41" i="1"/>
  <c r="F43" i="1"/>
  <c r="J43" i="1"/>
  <c r="K43" i="1"/>
  <c r="F45" i="1"/>
  <c r="J45" i="1"/>
  <c r="K45" i="1"/>
  <c r="F47" i="1"/>
  <c r="J47" i="1"/>
  <c r="K47" i="1"/>
  <c r="F49" i="1"/>
  <c r="J49" i="1"/>
  <c r="K49" i="1" s="1"/>
  <c r="F51" i="1"/>
  <c r="J51" i="1"/>
  <c r="K51" i="1"/>
  <c r="F53" i="1"/>
  <c r="J53" i="1"/>
  <c r="K53" i="1"/>
  <c r="F55" i="1"/>
  <c r="J55" i="1" s="1"/>
  <c r="K55" i="1" s="1"/>
  <c r="F57" i="1"/>
  <c r="J57" i="1"/>
  <c r="K57" i="1"/>
  <c r="F59" i="1"/>
  <c r="J59" i="1"/>
  <c r="K59" i="1"/>
  <c r="F65" i="1"/>
  <c r="J65" i="1"/>
  <c r="K65" i="1"/>
  <c r="F67" i="1"/>
  <c r="J67" i="1"/>
  <c r="K67" i="1"/>
  <c r="F69" i="1"/>
  <c r="J69" i="1"/>
  <c r="K69" i="1" s="1"/>
  <c r="F75" i="1"/>
  <c r="J75" i="1"/>
  <c r="K75" i="1"/>
  <c r="F77" i="1"/>
  <c r="J77" i="1"/>
  <c r="K77" i="1"/>
  <c r="F79" i="1"/>
  <c r="J79" i="1" s="1"/>
  <c r="K79" i="1" s="1"/>
  <c r="F81" i="1"/>
  <c r="J81" i="1"/>
  <c r="K81" i="1"/>
  <c r="F87" i="1"/>
  <c r="J87" i="1"/>
  <c r="K87" i="1"/>
  <c r="F89" i="1"/>
  <c r="J89" i="1"/>
  <c r="K89" i="1"/>
  <c r="F91" i="1"/>
  <c r="J91" i="1"/>
  <c r="K91" i="1"/>
  <c r="F93" i="1"/>
  <c r="J93" i="1"/>
  <c r="K93" i="1" s="1"/>
  <c r="F95" i="1"/>
  <c r="J95" i="1"/>
  <c r="K95" i="1"/>
  <c r="F97" i="1"/>
  <c r="J97" i="1"/>
  <c r="K97" i="1"/>
  <c r="F99" i="1"/>
  <c r="J99" i="1" s="1"/>
  <c r="K99" i="1" s="1"/>
  <c r="F105" i="1"/>
  <c r="J105" i="1"/>
  <c r="K105" i="1"/>
  <c r="F107" i="1"/>
  <c r="J107" i="1"/>
  <c r="K107" i="1"/>
  <c r="F109" i="1"/>
  <c r="J109" i="1"/>
  <c r="K109" i="1"/>
  <c r="F111" i="1"/>
  <c r="J111" i="1"/>
  <c r="K111" i="1"/>
  <c r="F113" i="1"/>
  <c r="J113" i="1"/>
  <c r="K113" i="1" s="1"/>
  <c r="F115" i="1"/>
  <c r="J115" i="1"/>
  <c r="K115" i="1"/>
  <c r="F117" i="1"/>
  <c r="J117" i="1"/>
  <c r="K117" i="1"/>
  <c r="F119" i="1"/>
  <c r="J119" i="1" s="1"/>
  <c r="K119" i="1" s="1"/>
  <c r="F121" i="1"/>
  <c r="J121" i="1"/>
  <c r="K121" i="1"/>
  <c r="K7" i="1" l="1"/>
  <c r="K127" i="1" s="1"/>
  <c r="J125" i="1"/>
</calcChain>
</file>

<file path=xl/sharedStrings.xml><?xml version="1.0" encoding="utf-8"?>
<sst xmlns="http://schemas.openxmlformats.org/spreadsheetml/2006/main" count="143" uniqueCount="133">
  <si>
    <t>负荷清单</t>
  </si>
  <si>
    <t>序号</t>
  </si>
  <si>
    <t>代号</t>
  </si>
  <si>
    <t>名  称</t>
  </si>
  <si>
    <t>名牌功率</t>
  </si>
  <si>
    <t>数量</t>
  </si>
  <si>
    <t>Ps</t>
  </si>
  <si>
    <t>Kx</t>
  </si>
  <si>
    <t>COS¢</t>
  </si>
  <si>
    <t>tgφ</t>
  </si>
  <si>
    <t>Pjs</t>
  </si>
  <si>
    <t>Qjs</t>
  </si>
  <si>
    <t>标注</t>
  </si>
  <si>
    <t>上料系统</t>
  </si>
  <si>
    <t>0103</t>
  </si>
  <si>
    <t>皮带秤</t>
  </si>
  <si>
    <t>变频</t>
  </si>
  <si>
    <t>0104</t>
  </si>
  <si>
    <t>上料除尘器</t>
  </si>
  <si>
    <t>0104b</t>
  </si>
  <si>
    <t>除尘风机</t>
  </si>
  <si>
    <t>0105</t>
  </si>
  <si>
    <t>1#皮带机</t>
  </si>
  <si>
    <t>0106</t>
  </si>
  <si>
    <t>板链式提升机</t>
  </si>
  <si>
    <t>0107</t>
  </si>
  <si>
    <t>振动筛</t>
  </si>
  <si>
    <t>0109</t>
  </si>
  <si>
    <t>散装机</t>
  </si>
  <si>
    <t>0110</t>
  </si>
  <si>
    <t>2#皮带机</t>
  </si>
  <si>
    <t>预热系统</t>
  </si>
  <si>
    <t>0201a</t>
  </si>
  <si>
    <t>1#油泵电机</t>
  </si>
  <si>
    <t>0201b</t>
  </si>
  <si>
    <t>2#油泵电机</t>
  </si>
  <si>
    <t>备用</t>
  </si>
  <si>
    <t>0201c</t>
  </si>
  <si>
    <t>加热器</t>
  </si>
  <si>
    <t>0203</t>
  </si>
  <si>
    <t>高温调节阀</t>
  </si>
  <si>
    <t>回转窑系统</t>
  </si>
  <si>
    <t>0301a</t>
  </si>
  <si>
    <t>主传动电机</t>
  </si>
  <si>
    <t>0301b</t>
  </si>
  <si>
    <t>主传冷却电机</t>
  </si>
  <si>
    <t>0301P</t>
  </si>
  <si>
    <t>减速机油泵</t>
  </si>
  <si>
    <t>0301c</t>
  </si>
  <si>
    <t>窑辅传电机</t>
  </si>
  <si>
    <t>0301d</t>
  </si>
  <si>
    <t>挡轮油站</t>
  </si>
  <si>
    <t>0302</t>
  </si>
  <si>
    <t>窑头冷却风机</t>
  </si>
  <si>
    <t>0403</t>
  </si>
  <si>
    <t>二次风机</t>
  </si>
  <si>
    <t>0403a</t>
  </si>
  <si>
    <t>二次风机冷却</t>
  </si>
  <si>
    <t>0403b</t>
  </si>
  <si>
    <t>电动风门</t>
  </si>
  <si>
    <t>0405</t>
  </si>
  <si>
    <t>脉冲除尘器</t>
  </si>
  <si>
    <t>0406</t>
  </si>
  <si>
    <t>离心风机</t>
  </si>
  <si>
    <t>煅烧系统</t>
  </si>
  <si>
    <t>0501</t>
  </si>
  <si>
    <t>燃烧器</t>
  </si>
  <si>
    <t>0502</t>
  </si>
  <si>
    <t>一次风机</t>
  </si>
  <si>
    <t>0502a</t>
  </si>
  <si>
    <t>一次风机冷却</t>
  </si>
  <si>
    <t>成品输送系统</t>
  </si>
  <si>
    <t>0601</t>
  </si>
  <si>
    <t>链斗输送机</t>
  </si>
  <si>
    <t>0602</t>
  </si>
  <si>
    <t>斗提升机</t>
  </si>
  <si>
    <t>0602a</t>
  </si>
  <si>
    <t>辅助电机</t>
  </si>
  <si>
    <t>0604</t>
  </si>
  <si>
    <t>块状散装机</t>
  </si>
  <si>
    <t>废气处理系统</t>
  </si>
  <si>
    <t>0701</t>
  </si>
  <si>
    <t>袋式收尘器</t>
  </si>
  <si>
    <t>0702</t>
  </si>
  <si>
    <t>冷风阀</t>
  </si>
  <si>
    <t>0703</t>
  </si>
  <si>
    <t>高温风机</t>
  </si>
  <si>
    <t>10KV</t>
  </si>
  <si>
    <t>0703a</t>
  </si>
  <si>
    <t>0705</t>
  </si>
  <si>
    <t>气力输送</t>
  </si>
  <si>
    <t>0707</t>
  </si>
  <si>
    <t>粉状散装机</t>
  </si>
  <si>
    <t>0708</t>
  </si>
  <si>
    <t>灰仓除尘器</t>
  </si>
  <si>
    <t>成品灰压球系统</t>
  </si>
  <si>
    <t>0801</t>
  </si>
  <si>
    <t>螺旋输送机</t>
  </si>
  <si>
    <t>0802</t>
  </si>
  <si>
    <t>刮板输送机</t>
  </si>
  <si>
    <t>0803</t>
  </si>
  <si>
    <t>电动三通阀</t>
  </si>
  <si>
    <t>0804</t>
  </si>
  <si>
    <t>斗式提升机</t>
  </si>
  <si>
    <t>0805</t>
  </si>
  <si>
    <t>仓顶收尘器</t>
  </si>
  <si>
    <t>0806</t>
  </si>
  <si>
    <t>0809</t>
  </si>
  <si>
    <t>双轴搅拌机</t>
  </si>
  <si>
    <t>0810</t>
  </si>
  <si>
    <t>压球机</t>
  </si>
  <si>
    <t>0812</t>
  </si>
  <si>
    <t>定量给料机</t>
  </si>
  <si>
    <r>
      <t>∑</t>
    </r>
    <r>
      <rPr>
        <sz val="12"/>
        <color indexed="8"/>
        <rFont val="Times New Roman"/>
        <family val="1"/>
      </rPr>
      <t>Pjs</t>
    </r>
  </si>
  <si>
    <t>∑Qjs</t>
  </si>
  <si>
    <t>装机功率</t>
  </si>
  <si>
    <t>需求系数</t>
  </si>
  <si>
    <r>
      <rPr>
        <sz val="12"/>
        <rFont val="Times New Roman"/>
        <family val="1"/>
      </rPr>
      <t>cos</t>
    </r>
    <r>
      <rPr>
        <sz val="12"/>
        <color indexed="8"/>
        <rFont val="宋体"/>
        <charset val="134"/>
      </rPr>
      <t>φ</t>
    </r>
  </si>
  <si>
    <t>功率因数</t>
  </si>
  <si>
    <r>
      <rPr>
        <sz val="12"/>
        <rFont val="Times New Roman"/>
        <family val="1"/>
      </rPr>
      <t>tg</t>
    </r>
    <r>
      <rPr>
        <sz val="12"/>
        <color indexed="8"/>
        <rFont val="宋体"/>
        <charset val="134"/>
      </rPr>
      <t>φ</t>
    </r>
  </si>
  <si>
    <t>功率因数角正切值</t>
  </si>
  <si>
    <t>计算有功功率</t>
  </si>
  <si>
    <t>计算无功功率</t>
  </si>
  <si>
    <r>
      <rPr>
        <sz val="12"/>
        <rFont val="宋体"/>
        <charset val="134"/>
      </rPr>
      <t>∑</t>
    </r>
    <r>
      <rPr>
        <sz val="12"/>
        <color indexed="8"/>
        <rFont val="Times New Roman"/>
        <family val="1"/>
      </rPr>
      <t>Kp</t>
    </r>
  </si>
  <si>
    <t>有功同时系数</t>
  </si>
  <si>
    <r>
      <rPr>
        <sz val="12"/>
        <rFont val="宋体"/>
        <charset val="134"/>
      </rPr>
      <t>∑</t>
    </r>
    <r>
      <rPr>
        <sz val="12"/>
        <color indexed="8"/>
        <rFont val="Times New Roman"/>
        <family val="1"/>
      </rPr>
      <t>Kq</t>
    </r>
  </si>
  <si>
    <t>无功同时系数</t>
  </si>
  <si>
    <r>
      <rPr>
        <sz val="12"/>
        <rFont val="宋体"/>
        <charset val="134"/>
      </rPr>
      <t>∑</t>
    </r>
    <r>
      <rPr>
        <sz val="12"/>
        <color indexed="8"/>
        <rFont val="Times New Roman"/>
        <family val="1"/>
      </rPr>
      <t>Pjs</t>
    </r>
  </si>
  <si>
    <t>总计算有功功率</t>
  </si>
  <si>
    <r>
      <rPr>
        <sz val="12"/>
        <rFont val="宋体"/>
        <charset val="134"/>
      </rPr>
      <t>∑</t>
    </r>
    <r>
      <rPr>
        <sz val="12"/>
        <color indexed="8"/>
        <rFont val="Times New Roman"/>
        <family val="1"/>
      </rPr>
      <t>Qjs</t>
    </r>
  </si>
  <si>
    <t>总计算无功功率</t>
  </si>
  <si>
    <t>Sjs</t>
  </si>
  <si>
    <t>总视在功率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</si>
</sst>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;[Red]0.00"/>
  </numFmts>
  <fonts count="10" x14ac:knownFonts="1">
    <font>
      <sz val="12"/>
      <name val="宋体"/>
      <charset val="134"/>
    </font>
    <font>
      <sz val="16"/>
      <name val="宋体"/>
      <charset val="134"/>
    </font>
    <font>
      <sz val="12"/>
      <name val="Times New Roman"/>
      <family val="1"/>
    </font>
    <font>
      <sz val="12"/>
      <color indexed="8"/>
      <name val="宋体"/>
      <charset val="134"/>
    </font>
    <font>
      <sz val="12"/>
      <color indexed="8"/>
      <name val="Times New Roman"/>
      <family val="1"/>
    </font>
    <font>
      <sz val="9"/>
      <name val="宋体"/>
      <charset val="134"/>
    </font>
    <font>
      <sz val="16"/>
      <name val="Arial"/>
      <charset val="134"/>
      <color rgb="FF1F4E78"/>
      <i val="1"/>
    </font>
    <font>
      <sz val="12"/>
      <name val="Arial"/>
      <charset val="134"/>
      <color rgb="FF1F4E78"/>
      <i val="1"/>
    </font>
    <font>
      <sz val="12"/>
      <name val="Arial"/>
      <family val="1"/>
      <color rgb="FF1F4E78"/>
      <i val="1"/>
    </font>
    <font>
      <sz val="12"/>
      <color rgb="FF1F4E78"/>
      <name val="Arial"/>
      <charset val="134"/>
      <i val="1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EAF2F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76" fontId="0" fillId="0" borderId="1" xfId="0" applyNumberFormat="1" applyFont="1" applyFill="1" applyBorder="1" applyAlignment="1">
      <alignment horizontal="center" vertical="center"/>
    </xf>
    <xf numFmtId="176" fontId="0" fillId="3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49" fontId="0" fillId="0" borderId="2" xfId="0" applyNumberFormat="1" applyBorder="1" applyAlignment="1">
      <alignment horizontal="left" vertical="center"/>
    </xf>
    <xf numFmtId="49" fontId="0" fillId="0" borderId="3" xfId="0" applyNumberFormat="1" applyBorder="1" applyAlignment="1">
      <alignment horizontal="left" vertical="center"/>
    </xf>
    <xf numFmtId="49" fontId="0" fillId="0" borderId="4" xfId="0" applyNumberFormat="1" applyBorder="1" applyAlignment="1">
      <alignment horizontal="left" vertical="center"/>
    </xf>
    <xf numFmtId="0" fontId="0" fillId="0" borderId="1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6" fillId="4" borderId="0" xfId="0" applyFont="1" applyBorder="1" applyAlignment="1" applyFill="1">
      <alignment horizontal="center" vertical="center" wrapText="1" shrinkToFit="0"/>
    </xf>
    <xf numFmtId="0" fontId="7" fillId="4" borderId="0" xfId="0" applyBorder="1" applyAlignment="1" applyFont="1" applyFill="1">
      <alignment horizontal="center" vertical="center" wrapText="1" shrinkToFit="0"/>
    </xf>
    <xf numFmtId="0" fontId="7" fillId="4" borderId="1" xfId="0" applyBorder="1" applyAlignment="1" applyFont="1" applyFill="1">
      <alignment horizontal="center" vertical="center" wrapText="1" shrinkToFit="0"/>
    </xf>
    <xf numFmtId="0" fontId="7" fillId="4" borderId="1" xfId="0" applyBorder="1" applyAlignment="1" applyFont="1" applyFill="1">
      <alignment vertical="center" wrapText="1" shrinkToFit="0"/>
    </xf>
    <xf numFmtId="0" fontId="7" fillId="4" borderId="1" xfId="0" applyBorder="1" applyAlignment="1" applyFont="1" applyFill="1">
      <alignment horizontal="center" vertical="center" wrapText="1" shrinkToFit="0"/>
    </xf>
    <xf numFmtId="0" fontId="7" fillId="4" borderId="2" xfId="0" applyBorder="1" applyAlignment="1" applyFont="1" applyFill="1">
      <alignment horizontal="left" vertical="center" wrapText="1" shrinkToFit="0"/>
    </xf>
    <xf numFmtId="0" fontId="7" fillId="4" borderId="3" xfId="0" applyBorder="1" applyAlignment="1" applyFont="1" applyFill="1">
      <alignment horizontal="left" vertical="center" wrapText="1" shrinkToFit="0"/>
    </xf>
    <xf numFmtId="0" fontId="7" fillId="4" borderId="4" xfId="0" applyBorder="1" applyAlignment="1" applyFont="1" applyFill="1">
      <alignment horizontal="left" vertical="center" wrapText="1" shrinkToFit="0"/>
    </xf>
    <xf numFmtId="0" fontId="7" fillId="4" borderId="1" xfId="0" applyFill="1" applyBorder="1" applyAlignment="1" applyFont="1">
      <alignment horizontal="center" vertical="center" wrapText="1" shrinkToFit="0"/>
    </xf>
    <xf numFmtId="49" fontId="7" fillId="4" borderId="1" xfId="0" applyNumberFormat="1" applyBorder="1" applyAlignment="1" applyFont="1" applyFill="1">
      <alignment horizontal="center" vertical="center" wrapText="1" shrinkToFit="0"/>
    </xf>
    <xf numFmtId="176" fontId="7" fillId="4" borderId="1" xfId="0" applyNumberFormat="1" applyFont="1" applyFill="1" applyBorder="1" applyAlignment="1">
      <alignment horizontal="center" vertical="center" wrapText="1" shrinkToFit="0"/>
    </xf>
    <xf numFmtId="49" fontId="7" fillId="4" borderId="2" xfId="0" applyNumberFormat="1" applyBorder="1" applyAlignment="1" applyFont="1" applyFill="1">
      <alignment horizontal="left" vertical="center" wrapText="1" shrinkToFit="0"/>
    </xf>
    <xf numFmtId="49" fontId="7" fillId="4" borderId="3" xfId="0" applyNumberFormat="1" applyBorder="1" applyAlignment="1" applyFont="1" applyFill="1">
      <alignment horizontal="left" vertical="center" wrapText="1" shrinkToFit="0"/>
    </xf>
    <xf numFmtId="49" fontId="7" fillId="4" borderId="4" xfId="0" applyNumberFormat="1" applyBorder="1" applyAlignment="1" applyFont="1" applyFill="1">
      <alignment horizontal="left" vertical="center" wrapText="1" shrinkToFit="0"/>
    </xf>
    <xf numFmtId="49" fontId="7" fillId="4" borderId="1" xfId="0" applyNumberFormat="1" applyFill="1" applyBorder="1" applyAlignment="1" applyFont="1">
      <alignment horizontal="center" vertical="center" wrapText="1" shrinkToFit="0"/>
    </xf>
    <xf numFmtId="0" fontId="7" fillId="4" borderId="1" xfId="0" applyFill="1" applyBorder="1" applyAlignment="1" applyFont="1">
      <alignment horizontal="center" vertical="center" wrapText="1" shrinkToFit="0"/>
    </xf>
    <xf numFmtId="176" fontId="7" fillId="4" borderId="1" xfId="0" applyNumberFormat="1" applyFont="1" applyFill="1" applyBorder="1" applyAlignment="1">
      <alignment horizontal="center" vertical="center" wrapText="1" shrinkToFit="0"/>
    </xf>
    <xf numFmtId="0" fontId="7" fillId="4" borderId="1" xfId="0" applyFont="1" applyFill="1" applyBorder="1" applyAlignment="1">
      <alignment horizontal="center" vertical="center" wrapText="1" shrinkToFit="0"/>
    </xf>
    <xf numFmtId="0" fontId="7" fillId="4" borderId="0" xfId="0" applyFont="1" applyFill="1" applyAlignment="1">
      <alignment vertical="center" wrapText="1" shrinkToFit="0"/>
    </xf>
    <xf numFmtId="0" fontId="8" fillId="4" borderId="1" xfId="0" applyFont="1" applyFill="1" applyBorder="1" applyAlignment="1">
      <alignment horizontal="center" vertical="center" wrapText="1" shrinkToFit="0"/>
    </xf>
    <xf numFmtId="0" fontId="9" fillId="4" borderId="1" xfId="0" applyFont="1" applyBorder="1" applyAlignment="1" applyFill="1">
      <alignment vertical="center" wrapText="1" shrinkToFit="0"/>
    </xf>
    <xf numFmtId="0" fontId="7" fillId="4" borderId="1" xfId="0" applyFont="1" applyFill="1" applyBorder="1" applyAlignment="1">
      <alignment horizontal="center" vertical="center" wrapText="1" shrinkToFit="0"/>
    </xf>
  </cellXfs>
  <cellStyles count="1">
    <cellStyle name="常规" xfId="0" builtinId="0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52"/>
  <sheetViews>
    <sheetView tabSelected="1" topLeftCell="A11" workbookViewId="0">
      <selection activeCell="O61" sqref="O61"/>
    </sheetView>
  </sheetViews>
  <sheetFormatPr defaultColWidth="9" defaultRowHeight="14.25" x14ac:dyDescent="0.15"/>
  <cols>
    <col min="1" max="1" width="3.75" style="1" customWidth="1"/>
    <col min="2" max="2" width="6.75" style="1" customWidth="1"/>
    <col min="3" max="3" width="13.25" style="1" customWidth="1"/>
    <col min="4" max="4" width="7.5" style="1" customWidth="1"/>
    <col min="5" max="5" width="4.75" style="1" customWidth="1"/>
    <col min="6" max="7" width="5.75" style="1" customWidth="1"/>
    <col min="8" max="9" width="5.25" style="1" customWidth="1"/>
    <col min="10" max="10" width="7.75" style="1" customWidth="1"/>
    <col min="11" max="11" width="7.125" style="1" customWidth="1"/>
    <col min="12" max="12" width="8.25" style="1" customWidth="1"/>
  </cols>
  <sheetData>
    <row r="1" ht="25.15" customHeight="1" x14ac:dyDescent="0.15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ht="30" customHeight="1" x14ac:dyDescent="0.15">
      <c r="A2" s="23" t="inlineStr">
        <is>
          <t xml:space="preserve">Load List</t>
        </is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3" x14ac:dyDescent="0.1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3" t="s">
        <v>8</v>
      </c>
      <c r="I3" s="3" t="s">
        <v>9</v>
      </c>
      <c r="J3" s="8" t="s">
        <v>10</v>
      </c>
      <c r="K3" s="8" t="s">
        <v>11</v>
      </c>
      <c r="L3" s="2" t="s">
        <v>12</v>
      </c>
    </row>
    <row r="4" x14ac:dyDescent="0.15" ht="60" customHeight="1">
      <c r="A4" s="25" t="inlineStr">
        <is>
          <t xml:space="preserve">No.</t>
        </is>
      </c>
      <c r="B4" s="25" t="inlineStr">
        <is>
          <t xml:space="preserve">Tag No.</t>
        </is>
      </c>
      <c r="C4" s="25" t="inlineStr">
        <is>
          <t xml:space="preserve">Description</t>
        </is>
      </c>
      <c r="D4" s="25" t="inlineStr">
        <is>
          <t xml:space="preserve">Rated Power</t>
        </is>
      </c>
      <c r="E4" s="25" t="inlineStr">
        <is>
          <t xml:space="preserve">Quantity</t>
        </is>
      </c>
      <c r="F4" s="25"/>
      <c r="G4" s="25"/>
      <c r="H4" s="26"/>
      <c r="I4" s="26"/>
      <c r="J4" s="27"/>
      <c r="K4" s="27"/>
      <c r="L4" s="25" t="inlineStr">
        <is>
          <t xml:space="preserve">Remarks</t>
        </is>
      </c>
    </row>
    <row r="5" x14ac:dyDescent="0.15">
      <c r="A5" s="20" t="s">
        <v>13</v>
      </c>
      <c r="B5" s="21"/>
      <c r="C5" s="22"/>
      <c r="D5" s="2"/>
      <c r="E5" s="2"/>
      <c r="F5" s="4">
        <v>89.1</v>
      </c>
      <c r="G5" s="2"/>
      <c r="H5" s="3"/>
      <c r="I5" s="3"/>
      <c r="J5" s="8"/>
      <c r="K5" s="8"/>
      <c r="L5" s="2"/>
    </row>
    <row r="6" x14ac:dyDescent="0.15" ht="24" customHeight="1">
      <c r="A6" s="28" t="inlineStr">
        <is>
          <t xml:space="preserve">Feed System</t>
        </is>
      </c>
      <c r="B6" s="29"/>
      <c r="C6" s="30"/>
      <c r="D6" s="25"/>
      <c r="E6" s="25"/>
      <c r="F6" s="31"/>
      <c r="G6" s="25"/>
      <c r="H6" s="26"/>
      <c r="I6" s="26"/>
      <c r="J6" s="27"/>
      <c r="K6" s="27"/>
      <c r="L6" s="25"/>
    </row>
    <row r="7" x14ac:dyDescent="0.15">
      <c r="A7" s="2">
        <v>1</v>
      </c>
      <c r="B7" s="5" t="s">
        <v>14</v>
      </c>
      <c r="C7" s="2" t="s">
        <v>15</v>
      </c>
      <c r="D7" s="2">
        <v>1.5</v>
      </c>
      <c r="E7" s="2">
        <v>1</v>
      </c>
      <c r="F7" s="2">
        <f>E7*D7</f>
        <v>1.5</v>
      </c>
      <c r="G7" s="2">
        <v>0.8</v>
      </c>
      <c r="H7" s="2">
        <v>0.95</v>
      </c>
      <c r="I7" s="2">
        <v>0.31</v>
      </c>
      <c r="J7" s="9">
        <f>F7*G7</f>
        <v>1.2000000000000002</v>
      </c>
      <c r="K7" s="9">
        <f>J7*I7</f>
        <v>0.37200000000000005</v>
      </c>
      <c r="L7" s="2" t="s">
        <v>16</v>
      </c>
    </row>
    <row r="8" x14ac:dyDescent="0.15" ht="42" customHeight="1">
      <c r="A8" s="25"/>
      <c r="B8" s="32"/>
      <c r="C8" s="25" t="inlineStr">
        <is>
          <t xml:space="preserve">Belt Weigher</t>
        </is>
      </c>
      <c r="D8" s="25"/>
      <c r="E8" s="25"/>
      <c r="F8" s="25"/>
      <c r="G8" s="25"/>
      <c r="H8" s="25"/>
      <c r="I8" s="25"/>
      <c r="J8" s="33"/>
      <c r="K8" s="33"/>
      <c r="L8" s="25" t="inlineStr">
        <is>
          <t xml:space="preserve">VFD</t>
        </is>
      </c>
    </row>
    <row r="9" x14ac:dyDescent="0.15">
      <c r="A9" s="2">
        <v>2</v>
      </c>
      <c r="B9" s="5" t="s">
        <v>17</v>
      </c>
      <c r="C9" s="2" t="s">
        <v>18</v>
      </c>
      <c r="D9" s="2">
        <v>6.6</v>
      </c>
      <c r="E9" s="2">
        <v>1</v>
      </c>
      <c r="F9" s="2">
        <f>E9*D9</f>
        <v>6.6</v>
      </c>
      <c r="G9" s="2">
        <v>0.7</v>
      </c>
      <c r="H9" s="2">
        <v>0.8</v>
      </c>
      <c r="I9" s="2">
        <v>0.75</v>
      </c>
      <c r="J9" s="9">
        <f>F9*G9</f>
        <v>4.6199999999999992</v>
      </c>
      <c r="K9" s="9">
        <f>J9*I9</f>
        <v>3.4649999999999994</v>
      </c>
      <c r="L9" s="2"/>
    </row>
    <row r="10" x14ac:dyDescent="0.15" ht="78" customHeight="1">
      <c r="A10" s="25"/>
      <c r="B10" s="32"/>
      <c r="C10" s="25" t="inlineStr">
        <is>
          <t xml:space="preserve">Feed System Dust Collector</t>
        </is>
      </c>
      <c r="D10" s="25"/>
      <c r="E10" s="25"/>
      <c r="F10" s="25"/>
      <c r="G10" s="25"/>
      <c r="H10" s="25"/>
      <c r="I10" s="25"/>
      <c r="J10" s="33"/>
      <c r="K10" s="33"/>
      <c r="L10" s="25"/>
    </row>
    <row r="11" x14ac:dyDescent="0.15">
      <c r="A11" s="2">
        <v>3</v>
      </c>
      <c r="B11" s="5" t="s">
        <v>19</v>
      </c>
      <c r="C11" s="2" t="s">
        <v>20</v>
      </c>
      <c r="D11" s="2">
        <v>22</v>
      </c>
      <c r="E11" s="2">
        <v>1</v>
      </c>
      <c r="F11" s="2">
        <f>E11*D11</f>
        <v>22</v>
      </c>
      <c r="G11" s="2">
        <v>0.8</v>
      </c>
      <c r="H11" s="2">
        <v>0.8</v>
      </c>
      <c r="I11" s="2">
        <v>0.75</v>
      </c>
      <c r="J11" s="9">
        <f>F11*G11</f>
        <v>17.600000000000001</v>
      </c>
      <c r="K11" s="9">
        <f>J11*I11</f>
        <v>13.200000000000001</v>
      </c>
      <c r="L11" s="2"/>
    </row>
    <row r="12" x14ac:dyDescent="0.15" ht="60" customHeight="1">
      <c r="A12" s="25"/>
      <c r="B12" s="32"/>
      <c r="C12" s="25" t="inlineStr">
        <is>
          <t xml:space="preserve">Dust Collector Fan</t>
        </is>
      </c>
      <c r="D12" s="25"/>
      <c r="E12" s="25"/>
      <c r="F12" s="25"/>
      <c r="G12" s="25"/>
      <c r="H12" s="25"/>
      <c r="I12" s="25"/>
      <c r="J12" s="33"/>
      <c r="K12" s="33"/>
      <c r="L12" s="25"/>
    </row>
    <row r="13" x14ac:dyDescent="0.15">
      <c r="A13" s="2">
        <v>4</v>
      </c>
      <c r="B13" s="5" t="s">
        <v>21</v>
      </c>
      <c r="C13" s="2" t="s">
        <v>22</v>
      </c>
      <c r="D13" s="2">
        <v>11</v>
      </c>
      <c r="E13" s="2">
        <v>1</v>
      </c>
      <c r="F13" s="2">
        <f>E13*D13</f>
        <v>11</v>
      </c>
      <c r="G13" s="2">
        <v>0.7</v>
      </c>
      <c r="H13" s="2">
        <v>0.8</v>
      </c>
      <c r="I13" s="2">
        <v>0.75</v>
      </c>
      <c r="J13" s="9">
        <f>F13*G13</f>
        <v>7.6999999999999993</v>
      </c>
      <c r="K13" s="9">
        <f>J13*I13</f>
        <v>5.7749999999999995</v>
      </c>
      <c r="L13" s="2"/>
    </row>
    <row r="14" x14ac:dyDescent="0.15" ht="60" customHeight="1">
      <c r="A14" s="25"/>
      <c r="B14" s="32"/>
      <c r="C14" s="25" t="inlineStr">
        <is>
          <t xml:space="preserve">Belt Conveyor No. 1</t>
        </is>
      </c>
      <c r="D14" s="25"/>
      <c r="E14" s="25"/>
      <c r="F14" s="25"/>
      <c r="G14" s="25"/>
      <c r="H14" s="25"/>
      <c r="I14" s="25"/>
      <c r="J14" s="33"/>
      <c r="K14" s="33"/>
      <c r="L14" s="25"/>
    </row>
    <row r="15" x14ac:dyDescent="0.15">
      <c r="A15" s="2">
        <v>5</v>
      </c>
      <c r="B15" s="5" t="s">
        <v>23</v>
      </c>
      <c r="C15" s="2" t="s">
        <v>24</v>
      </c>
      <c r="D15" s="2">
        <v>30</v>
      </c>
      <c r="E15" s="2">
        <v>1</v>
      </c>
      <c r="F15" s="2">
        <f>E15*D15</f>
        <v>30</v>
      </c>
      <c r="G15" s="2">
        <v>0.7</v>
      </c>
      <c r="H15" s="2">
        <v>0.8</v>
      </c>
      <c r="I15" s="2">
        <v>0.75</v>
      </c>
      <c r="J15" s="9">
        <f>F15*G15</f>
        <v>21</v>
      </c>
      <c r="K15" s="9">
        <f>J15*I15</f>
        <v>15.75</v>
      </c>
      <c r="L15" s="2"/>
    </row>
    <row r="16" x14ac:dyDescent="0.15" ht="60" customHeight="1">
      <c r="A16" s="25"/>
      <c r="B16" s="32"/>
      <c r="C16" s="25" t="inlineStr">
        <is>
          <t xml:space="preserve">Plate Chain Bucket Elevator</t>
        </is>
      </c>
      <c r="D16" s="25"/>
      <c r="E16" s="25"/>
      <c r="F16" s="25"/>
      <c r="G16" s="25"/>
      <c r="H16" s="25"/>
      <c r="I16" s="25"/>
      <c r="J16" s="33"/>
      <c r="K16" s="33"/>
      <c r="L16" s="25"/>
    </row>
    <row r="17" x14ac:dyDescent="0.15">
      <c r="A17" s="2">
        <v>6</v>
      </c>
      <c r="B17" s="5" t="s">
        <v>25</v>
      </c>
      <c r="C17" s="2" t="s">
        <v>26</v>
      </c>
      <c r="D17" s="2">
        <v>5.5</v>
      </c>
      <c r="E17" s="2">
        <v>1</v>
      </c>
      <c r="F17" s="2">
        <f>E17*D17</f>
        <v>5.5</v>
      </c>
      <c r="G17" s="2">
        <v>0.8</v>
      </c>
      <c r="H17" s="2">
        <v>0.8</v>
      </c>
      <c r="I17" s="2">
        <v>0.75</v>
      </c>
      <c r="J17" s="9">
        <f>F17*G17</f>
        <v>4.4000000000000004</v>
      </c>
      <c r="K17" s="9">
        <f>J17*I17</f>
        <v>3.3000000000000003</v>
      </c>
      <c r="L17" s="2"/>
    </row>
    <row r="18" x14ac:dyDescent="0.15" ht="42" customHeight="1">
      <c r="A18" s="25"/>
      <c r="B18" s="32"/>
      <c r="C18" s="25" t="inlineStr">
        <is>
          <t xml:space="preserve">Vibrating Screen</t>
        </is>
      </c>
      <c r="D18" s="25"/>
      <c r="E18" s="25"/>
      <c r="F18" s="25"/>
      <c r="G18" s="25"/>
      <c r="H18" s="25"/>
      <c r="I18" s="25"/>
      <c r="J18" s="33"/>
      <c r="K18" s="33"/>
      <c r="L18" s="25"/>
    </row>
    <row r="19" x14ac:dyDescent="0.15">
      <c r="A19" s="2">
        <v>7</v>
      </c>
      <c r="B19" s="5" t="s">
        <v>27</v>
      </c>
      <c r="C19" s="2" t="s">
        <v>28</v>
      </c>
      <c r="D19" s="2">
        <v>1.5</v>
      </c>
      <c r="E19" s="2">
        <v>1</v>
      </c>
      <c r="F19" s="2">
        <f>E19*D19</f>
        <v>1.5</v>
      </c>
      <c r="G19" s="2">
        <v>0.7</v>
      </c>
      <c r="H19" s="2">
        <v>0.8</v>
      </c>
      <c r="I19" s="2">
        <v>0.75</v>
      </c>
      <c r="J19" s="9">
        <f>F19*G19</f>
        <v>1.0499999999999998</v>
      </c>
      <c r="K19" s="9">
        <f>J19*I19</f>
        <v>0.78749999999999987</v>
      </c>
      <c r="L19" s="2"/>
    </row>
    <row r="20" x14ac:dyDescent="0.15" ht="24" customHeight="1">
      <c r="A20" s="25"/>
      <c r="B20" s="32"/>
      <c r="C20" s="25" t="inlineStr">
        <is>
          <t xml:space="preserve">Bulk Loader</t>
        </is>
      </c>
      <c r="D20" s="25"/>
      <c r="E20" s="25"/>
      <c r="F20" s="25"/>
      <c r="G20" s="25"/>
      <c r="H20" s="25"/>
      <c r="I20" s="25"/>
      <c r="J20" s="33"/>
      <c r="K20" s="33"/>
      <c r="L20" s="25"/>
    </row>
    <row r="21" x14ac:dyDescent="0.15">
      <c r="A21" s="2">
        <v>8</v>
      </c>
      <c r="B21" s="5" t="s">
        <v>29</v>
      </c>
      <c r="C21" s="2" t="s">
        <v>30</v>
      </c>
      <c r="D21" s="2">
        <v>11</v>
      </c>
      <c r="E21" s="2">
        <v>1</v>
      </c>
      <c r="F21" s="2">
        <f>E21*D21</f>
        <v>11</v>
      </c>
      <c r="G21" s="2">
        <v>0.7</v>
      </c>
      <c r="H21" s="2">
        <v>0.8</v>
      </c>
      <c r="I21" s="2">
        <v>0.75</v>
      </c>
      <c r="J21" s="9">
        <f>F21*G21</f>
        <v>7.6999999999999993</v>
      </c>
      <c r="K21" s="9">
        <f>J21*I21</f>
        <v>5.7749999999999995</v>
      </c>
      <c r="L21" s="2"/>
    </row>
    <row r="22" x14ac:dyDescent="0.15" ht="60" customHeight="1">
      <c r="A22" s="25"/>
      <c r="B22" s="32"/>
      <c r="C22" s="25" t="inlineStr">
        <is>
          <t xml:space="preserve">Belt Conveyor No. 2</t>
        </is>
      </c>
      <c r="D22" s="25"/>
      <c r="E22" s="25"/>
      <c r="F22" s="25"/>
      <c r="G22" s="25"/>
      <c r="H22" s="25"/>
      <c r="I22" s="25"/>
      <c r="J22" s="33"/>
      <c r="K22" s="33"/>
      <c r="L22" s="25"/>
    </row>
    <row r="23" x14ac:dyDescent="0.15">
      <c r="A23" s="2"/>
      <c r="B23" s="5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x14ac:dyDescent="0.15" ht="24" customHeight="1">
      <c r="A24" s="25"/>
      <c r="B24" s="32"/>
      <c r="C24" s="25"/>
      <c r="D24" s="25"/>
      <c r="E24" s="25"/>
      <c r="F24" s="25"/>
      <c r="G24" s="25"/>
      <c r="H24" s="25"/>
      <c r="I24" s="25"/>
      <c r="J24" s="25"/>
      <c r="K24" s="25"/>
      <c r="L24" s="25"/>
    </row>
    <row r="25" x14ac:dyDescent="0.15">
      <c r="A25" s="14" t="s">
        <v>31</v>
      </c>
      <c r="B25" s="15"/>
      <c r="C25" s="16"/>
      <c r="D25" s="2"/>
      <c r="E25" s="2"/>
      <c r="F25" s="4">
        <v>18.7</v>
      </c>
      <c r="G25" s="2"/>
      <c r="H25" s="2"/>
      <c r="I25" s="2"/>
      <c r="J25" s="2"/>
      <c r="K25" s="2"/>
      <c r="L25" s="2"/>
    </row>
    <row r="26" x14ac:dyDescent="0.15" ht="24" customHeight="1">
      <c r="A26" s="34" t="inlineStr">
        <is>
          <t xml:space="preserve">Preheating System</t>
        </is>
      </c>
      <c r="B26" s="35"/>
      <c r="C26" s="36"/>
      <c r="D26" s="25"/>
      <c r="E26" s="25"/>
      <c r="F26" s="31"/>
      <c r="G26" s="25"/>
      <c r="H26" s="25"/>
      <c r="I26" s="25"/>
      <c r="J26" s="25"/>
      <c r="K26" s="25"/>
      <c r="L26" s="25"/>
    </row>
    <row r="27" x14ac:dyDescent="0.15">
      <c r="A27" s="2">
        <v>1</v>
      </c>
      <c r="B27" s="5" t="s">
        <v>32</v>
      </c>
      <c r="C27" s="2" t="s">
        <v>33</v>
      </c>
      <c r="D27" s="2">
        <v>18.5</v>
      </c>
      <c r="E27" s="2">
        <v>1</v>
      </c>
      <c r="F27" s="2">
        <f>E27*D27</f>
        <v>18.5</v>
      </c>
      <c r="G27" s="2">
        <v>0.8</v>
      </c>
      <c r="H27" s="2">
        <v>0.8</v>
      </c>
      <c r="I27" s="2">
        <v>0.75</v>
      </c>
      <c r="J27" s="9">
        <f>F27*G27</f>
        <v>14.8</v>
      </c>
      <c r="K27" s="9">
        <f>J27*I27</f>
        <v>11.100000000000001</v>
      </c>
      <c r="L27" s="2"/>
    </row>
    <row r="28" x14ac:dyDescent="0.15" ht="42" customHeight="1">
      <c r="A28" s="25"/>
      <c r="B28" s="32"/>
      <c r="C28" s="25" t="inlineStr">
        <is>
          <t xml:space="preserve">Oil Pump Motor No. 1</t>
        </is>
      </c>
      <c r="D28" s="25"/>
      <c r="E28" s="25"/>
      <c r="F28" s="25"/>
      <c r="G28" s="25"/>
      <c r="H28" s="25"/>
      <c r="I28" s="25"/>
      <c r="J28" s="33"/>
      <c r="K28" s="33"/>
      <c r="L28" s="25"/>
    </row>
    <row r="29" x14ac:dyDescent="0.15">
      <c r="A29" s="2">
        <v>2</v>
      </c>
      <c r="B29" s="5" t="s">
        <v>34</v>
      </c>
      <c r="C29" s="2" t="s">
        <v>35</v>
      </c>
      <c r="D29" s="2">
        <v>18.5</v>
      </c>
      <c r="E29" s="2">
        <v>1</v>
      </c>
      <c r="F29" s="2">
        <f>E29*D29</f>
        <v>18.5</v>
      </c>
      <c r="G29" s="2">
        <v>0</v>
      </c>
      <c r="H29" s="2"/>
      <c r="I29" s="2"/>
      <c r="J29" s="9">
        <f>F29*G29</f>
        <v>0</v>
      </c>
      <c r="K29" s="9">
        <f>J29*I29</f>
        <v>0</v>
      </c>
      <c r="L29" s="2" t="s">
        <v>36</v>
      </c>
    </row>
    <row r="30" x14ac:dyDescent="0.15" ht="42" customHeight="1">
      <c r="A30" s="25"/>
      <c r="B30" s="32"/>
      <c r="C30" s="25" t="inlineStr">
        <is>
          <t xml:space="preserve">Oil Pump Motor No. 2</t>
        </is>
      </c>
      <c r="D30" s="25"/>
      <c r="E30" s="25"/>
      <c r="F30" s="25"/>
      <c r="G30" s="25"/>
      <c r="H30" s="25"/>
      <c r="I30" s="25"/>
      <c r="J30" s="33"/>
      <c r="K30" s="33"/>
      <c r="L30" s="25" t="inlineStr">
        <is>
          <t xml:space="preserve">Standby</t>
        </is>
      </c>
    </row>
    <row r="31" x14ac:dyDescent="0.15">
      <c r="A31" s="2">
        <v>3</v>
      </c>
      <c r="B31" s="5" t="s">
        <v>37</v>
      </c>
      <c r="C31" s="2" t="s">
        <v>38</v>
      </c>
      <c r="D31" s="2">
        <v>5.5</v>
      </c>
      <c r="E31" s="2">
        <v>1</v>
      </c>
      <c r="F31" s="2">
        <f>E31*D31</f>
        <v>5.5</v>
      </c>
      <c r="G31" s="2">
        <v>0</v>
      </c>
      <c r="H31" s="2"/>
      <c r="I31" s="2"/>
      <c r="J31" s="9">
        <f>F31*G31</f>
        <v>0</v>
      </c>
      <c r="K31" s="9">
        <f>J31*I31</f>
        <v>0</v>
      </c>
      <c r="L31" s="2"/>
    </row>
    <row r="32" x14ac:dyDescent="0.15" ht="24" customHeight="1">
      <c r="A32" s="25"/>
      <c r="B32" s="32"/>
      <c r="C32" s="25" t="inlineStr">
        <is>
          <t xml:space="preserve">Heater</t>
        </is>
      </c>
      <c r="D32" s="25"/>
      <c r="E32" s="25"/>
      <c r="F32" s="25"/>
      <c r="G32" s="25"/>
      <c r="H32" s="25"/>
      <c r="I32" s="25"/>
      <c r="J32" s="33"/>
      <c r="K32" s="33"/>
      <c r="L32" s="25"/>
    </row>
    <row r="33" x14ac:dyDescent="0.15">
      <c r="A33" s="2">
        <v>4</v>
      </c>
      <c r="B33" s="5" t="s">
        <v>39</v>
      </c>
      <c r="C33" s="2" t="s">
        <v>40</v>
      </c>
      <c r="D33" s="2">
        <v>0.1</v>
      </c>
      <c r="E33" s="2">
        <v>2</v>
      </c>
      <c r="F33" s="2">
        <f>E33*D33</f>
        <v>0.2</v>
      </c>
      <c r="G33" s="2">
        <v>0.5</v>
      </c>
      <c r="H33" s="2">
        <v>0.8</v>
      </c>
      <c r="I33" s="2">
        <v>0.75</v>
      </c>
      <c r="J33" s="9">
        <f>F33*G33</f>
        <v>0.1</v>
      </c>
      <c r="K33" s="9">
        <f>J33*I33</f>
        <v>7.5000000000000011E-2</v>
      </c>
      <c r="L33" s="2"/>
    </row>
    <row r="34" x14ac:dyDescent="0.15" ht="78" customHeight="1">
      <c r="A34" s="25"/>
      <c r="B34" s="32"/>
      <c r="C34" s="25" t="inlineStr">
        <is>
          <t xml:space="preserve">High-Temperature Control Valve</t>
        </is>
      </c>
      <c r="D34" s="25"/>
      <c r="E34" s="25"/>
      <c r="F34" s="25"/>
      <c r="G34" s="25"/>
      <c r="H34" s="25"/>
      <c r="I34" s="25"/>
      <c r="J34" s="33"/>
      <c r="K34" s="33"/>
      <c r="L34" s="25"/>
    </row>
    <row r="35" x14ac:dyDescent="0.15">
      <c r="A35" s="2"/>
      <c r="B35" s="5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x14ac:dyDescent="0.15" ht="24" customHeight="1">
      <c r="A36" s="25"/>
      <c r="B36" s="32"/>
      <c r="C36" s="25"/>
      <c r="D36" s="25"/>
      <c r="E36" s="25"/>
      <c r="F36" s="25"/>
      <c r="G36" s="25"/>
      <c r="H36" s="25"/>
      <c r="I36" s="25"/>
      <c r="J36" s="25"/>
      <c r="K36" s="25"/>
      <c r="L36" s="25"/>
    </row>
    <row r="37" x14ac:dyDescent="0.15">
      <c r="A37" s="14" t="s">
        <v>41</v>
      </c>
      <c r="B37" s="15"/>
      <c r="C37" s="16"/>
      <c r="D37" s="2"/>
      <c r="E37" s="2"/>
      <c r="F37" s="4">
        <v>174.2</v>
      </c>
      <c r="G37" s="2"/>
      <c r="H37" s="2"/>
      <c r="I37" s="2"/>
      <c r="J37" s="2"/>
      <c r="K37" s="2"/>
      <c r="L37" s="2"/>
    </row>
    <row r="38" x14ac:dyDescent="0.15" ht="24" customHeight="1">
      <c r="A38" s="34" t="inlineStr">
        <is>
          <t xml:space="preserve">Rotary Kiln System</t>
        </is>
      </c>
      <c r="B38" s="35"/>
      <c r="C38" s="36"/>
      <c r="D38" s="25"/>
      <c r="E38" s="25"/>
      <c r="F38" s="31"/>
      <c r="G38" s="25"/>
      <c r="H38" s="25"/>
      <c r="I38" s="25"/>
      <c r="J38" s="25"/>
      <c r="K38" s="25"/>
      <c r="L38" s="25"/>
    </row>
    <row r="39" x14ac:dyDescent="0.15">
      <c r="A39" s="2">
        <v>1</v>
      </c>
      <c r="B39" s="5" t="s">
        <v>42</v>
      </c>
      <c r="C39" s="2" t="s">
        <v>43</v>
      </c>
      <c r="D39" s="2">
        <v>160</v>
      </c>
      <c r="E39" s="2">
        <v>1</v>
      </c>
      <c r="F39" s="2">
        <f>E39*D39</f>
        <v>160</v>
      </c>
      <c r="G39" s="2">
        <v>0.8</v>
      </c>
      <c r="H39" s="2">
        <v>0.95</v>
      </c>
      <c r="I39" s="2">
        <v>0.31</v>
      </c>
      <c r="J39" s="9">
        <f>F39*G39</f>
        <v>128</v>
      </c>
      <c r="K39" s="9">
        <f>J39*I39</f>
        <v>39.68</v>
      </c>
      <c r="L39" s="2"/>
    </row>
    <row r="40" x14ac:dyDescent="0.15" ht="42" customHeight="1">
      <c r="A40" s="25"/>
      <c r="B40" s="32"/>
      <c r="C40" s="25" t="inlineStr">
        <is>
          <t xml:space="preserve">Main Drive Motor</t>
        </is>
      </c>
      <c r="D40" s="25"/>
      <c r="E40" s="25"/>
      <c r="F40" s="25"/>
      <c r="G40" s="25"/>
      <c r="H40" s="25"/>
      <c r="I40" s="25"/>
      <c r="J40" s="33"/>
      <c r="K40" s="33"/>
      <c r="L40" s="25"/>
    </row>
    <row r="41" x14ac:dyDescent="0.15">
      <c r="A41" s="2">
        <v>2</v>
      </c>
      <c r="B41" s="5" t="s">
        <v>44</v>
      </c>
      <c r="C41" s="2" t="s">
        <v>45</v>
      </c>
      <c r="D41" s="2">
        <v>2.2000000000000002</v>
      </c>
      <c r="E41" s="2">
        <v>1</v>
      </c>
      <c r="F41" s="2">
        <f>E41*D41</f>
        <v>2.2000000000000002</v>
      </c>
      <c r="G41" s="2">
        <v>0.8</v>
      </c>
      <c r="H41" s="2">
        <v>0.8</v>
      </c>
      <c r="I41" s="2">
        <v>0.75</v>
      </c>
      <c r="J41" s="9">
        <f>F41*G41</f>
        <v>1.7600000000000002</v>
      </c>
      <c r="K41" s="9">
        <f>J41*I41</f>
        <v>1.3200000000000003</v>
      </c>
      <c r="L41" s="2"/>
    </row>
    <row r="42" x14ac:dyDescent="0.15" ht="60" customHeight="1">
      <c r="A42" s="25"/>
      <c r="B42" s="32"/>
      <c r="C42" s="25" t="inlineStr">
        <is>
          <t xml:space="preserve">Main Drive Cooling Motor</t>
        </is>
      </c>
      <c r="D42" s="25"/>
      <c r="E42" s="25"/>
      <c r="F42" s="25"/>
      <c r="G42" s="25"/>
      <c r="H42" s="25"/>
      <c r="I42" s="25"/>
      <c r="J42" s="33"/>
      <c r="K42" s="33"/>
      <c r="L42" s="25"/>
    </row>
    <row r="43" x14ac:dyDescent="0.15">
      <c r="A43" s="2">
        <v>3</v>
      </c>
      <c r="B43" s="5" t="s">
        <v>46</v>
      </c>
      <c r="C43" s="2" t="s">
        <v>47</v>
      </c>
      <c r="D43" s="2">
        <v>3</v>
      </c>
      <c r="E43" s="2">
        <v>1</v>
      </c>
      <c r="F43" s="2">
        <f>E43*D43</f>
        <v>3</v>
      </c>
      <c r="G43" s="2">
        <v>0.8</v>
      </c>
      <c r="H43" s="2">
        <v>0.8</v>
      </c>
      <c r="I43" s="2">
        <v>0.75</v>
      </c>
      <c r="J43" s="9">
        <f>F43*G43</f>
        <v>2.4000000000000004</v>
      </c>
      <c r="K43" s="9">
        <f>J43*I43</f>
        <v>1.8000000000000003</v>
      </c>
      <c r="L43" s="2"/>
    </row>
    <row r="44" x14ac:dyDescent="0.15" ht="42" customHeight="1">
      <c r="A44" s="25"/>
      <c r="B44" s="32"/>
      <c r="C44" s="25" t="inlineStr">
        <is>
          <t xml:space="preserve">Gearbox Oil Pump</t>
        </is>
      </c>
      <c r="D44" s="25"/>
      <c r="E44" s="25"/>
      <c r="F44" s="25"/>
      <c r="G44" s="25"/>
      <c r="H44" s="25"/>
      <c r="I44" s="25"/>
      <c r="J44" s="33"/>
      <c r="K44" s="33"/>
      <c r="L44" s="25"/>
    </row>
    <row r="45" x14ac:dyDescent="0.15">
      <c r="A45" s="2">
        <v>4</v>
      </c>
      <c r="B45" s="2" t="s">
        <v>48</v>
      </c>
      <c r="C45" s="2" t="s">
        <v>49</v>
      </c>
      <c r="D45" s="2">
        <v>15</v>
      </c>
      <c r="E45" s="2">
        <v>1</v>
      </c>
      <c r="F45" s="2">
        <f>E45*D45</f>
        <v>15</v>
      </c>
      <c r="G45" s="2">
        <v>0</v>
      </c>
      <c r="H45" s="2"/>
      <c r="I45" s="2"/>
      <c r="J45" s="9">
        <f>F45*G45</f>
        <v>0</v>
      </c>
      <c r="K45" s="9">
        <f>J45*I45</f>
        <v>0</v>
      </c>
      <c r="L45" s="2"/>
    </row>
    <row r="46" x14ac:dyDescent="0.15" ht="60" customHeight="1">
      <c r="A46" s="25"/>
      <c r="B46" s="25"/>
      <c r="C46" s="25" t="inlineStr">
        <is>
          <t xml:space="preserve">Kiln Auxiliary Drive Motor</t>
        </is>
      </c>
      <c r="D46" s="25"/>
      <c r="E46" s="25"/>
      <c r="F46" s="25"/>
      <c r="G46" s="25"/>
      <c r="H46" s="25"/>
      <c r="I46" s="25"/>
      <c r="J46" s="33"/>
      <c r="K46" s="33"/>
      <c r="L46" s="25"/>
    </row>
    <row r="47" x14ac:dyDescent="0.15">
      <c r="A47" s="2">
        <v>5</v>
      </c>
      <c r="B47" s="2" t="s">
        <v>50</v>
      </c>
      <c r="C47" s="2" t="s">
        <v>51</v>
      </c>
      <c r="D47" s="2">
        <v>1.5</v>
      </c>
      <c r="E47" s="2">
        <v>1</v>
      </c>
      <c r="F47" s="2">
        <f>E47*D47</f>
        <v>1.5</v>
      </c>
      <c r="G47" s="2">
        <v>0.8</v>
      </c>
      <c r="H47" s="2">
        <v>0.8</v>
      </c>
      <c r="I47" s="2">
        <v>0.75</v>
      </c>
      <c r="J47" s="9">
        <f>F47*G47</f>
        <v>1.2000000000000002</v>
      </c>
      <c r="K47" s="9">
        <f>J47*I47</f>
        <v>0.90000000000000013</v>
      </c>
      <c r="L47" s="2"/>
    </row>
    <row r="48" x14ac:dyDescent="0.15" ht="78" customHeight="1">
      <c r="A48" s="25"/>
      <c r="B48" s="25"/>
      <c r="C48" s="25" t="inlineStr">
        <is>
          <t xml:space="preserve">Thrust Roller Hydraulic Station</t>
        </is>
      </c>
      <c r="D48" s="25"/>
      <c r="E48" s="25"/>
      <c r="F48" s="25"/>
      <c r="G48" s="25"/>
      <c r="H48" s="25"/>
      <c r="I48" s="25"/>
      <c r="J48" s="33"/>
      <c r="K48" s="33"/>
      <c r="L48" s="25"/>
    </row>
    <row r="49" x14ac:dyDescent="0.15">
      <c r="A49" s="2">
        <v>6</v>
      </c>
      <c r="B49" s="5" t="s">
        <v>52</v>
      </c>
      <c r="C49" s="2" t="s">
        <v>53</v>
      </c>
      <c r="D49" s="2">
        <v>7.5</v>
      </c>
      <c r="E49" s="2">
        <v>1</v>
      </c>
      <c r="F49" s="2">
        <f>E49*D49</f>
        <v>7.5</v>
      </c>
      <c r="G49" s="2">
        <v>0.8</v>
      </c>
      <c r="H49" s="2">
        <v>0.8</v>
      </c>
      <c r="I49" s="2">
        <v>0.75</v>
      </c>
      <c r="J49" s="9">
        <f>F49*G49</f>
        <v>6</v>
      </c>
      <c r="K49" s="9">
        <f>J49*I49</f>
        <v>4.5</v>
      </c>
      <c r="L49" s="2"/>
    </row>
    <row r="50" x14ac:dyDescent="0.15" ht="60" customHeight="1">
      <c r="A50" s="25"/>
      <c r="B50" s="32"/>
      <c r="C50" s="25" t="inlineStr">
        <is>
          <t xml:space="preserve">Kiln Hood Cooling Fan</t>
        </is>
      </c>
      <c r="D50" s="25"/>
      <c r="E50" s="25"/>
      <c r="F50" s="25"/>
      <c r="G50" s="25"/>
      <c r="H50" s="25"/>
      <c r="I50" s="25"/>
      <c r="J50" s="33"/>
      <c r="K50" s="33"/>
      <c r="L50" s="25"/>
    </row>
    <row r="51" x14ac:dyDescent="0.15">
      <c r="A51" s="2">
        <v>3</v>
      </c>
      <c r="B51" s="5" t="s">
        <v>54</v>
      </c>
      <c r="C51" s="2" t="s">
        <v>55</v>
      </c>
      <c r="D51" s="2">
        <v>110</v>
      </c>
      <c r="E51" s="2">
        <v>1</v>
      </c>
      <c r="F51" s="2">
        <f>E51*D51</f>
        <v>110</v>
      </c>
      <c r="G51" s="2">
        <v>0.8</v>
      </c>
      <c r="H51" s="2">
        <v>0.95</v>
      </c>
      <c r="I51" s="2">
        <v>0.31</v>
      </c>
      <c r="J51" s="9">
        <f>F51*G51</f>
        <v>88</v>
      </c>
      <c r="K51" s="9">
        <f>J51*I51</f>
        <v>27.28</v>
      </c>
      <c r="L51" s="2" t="s">
        <v>16</v>
      </c>
    </row>
    <row r="52" x14ac:dyDescent="0.15" ht="42" customHeight="1">
      <c r="A52" s="25"/>
      <c r="B52" s="32"/>
      <c r="C52" s="25" t="inlineStr">
        <is>
          <t xml:space="preserve">Secondary Air Fan</t>
        </is>
      </c>
      <c r="D52" s="25"/>
      <c r="E52" s="25"/>
      <c r="F52" s="25"/>
      <c r="G52" s="25"/>
      <c r="H52" s="25"/>
      <c r="I52" s="25"/>
      <c r="J52" s="33"/>
      <c r="K52" s="33"/>
      <c r="L52" s="25" t="inlineStr">
        <is>
          <t xml:space="preserve">VFD</t>
        </is>
      </c>
    </row>
    <row r="53" x14ac:dyDescent="0.15">
      <c r="A53" s="2">
        <v>4</v>
      </c>
      <c r="B53" s="2" t="s">
        <v>56</v>
      </c>
      <c r="C53" s="2" t="s">
        <v>57</v>
      </c>
      <c r="D53" s="2">
        <v>1.1000000000000001</v>
      </c>
      <c r="E53" s="2">
        <v>1</v>
      </c>
      <c r="F53" s="2">
        <f>E53*D53</f>
        <v>1.1000000000000001</v>
      </c>
      <c r="G53" s="2">
        <v>0.7</v>
      </c>
      <c r="H53" s="2">
        <v>0.8</v>
      </c>
      <c r="I53" s="2">
        <v>0.75</v>
      </c>
      <c r="J53" s="9">
        <f>F53*G53</f>
        <v>0.77</v>
      </c>
      <c r="K53" s="9">
        <f>J53*I53</f>
        <v>0.57750000000000001</v>
      </c>
      <c r="L53" s="2"/>
    </row>
    <row r="54" x14ac:dyDescent="0.15" ht="60" customHeight="1">
      <c r="A54" s="25"/>
      <c r="B54" s="25"/>
      <c r="C54" s="25" t="inlineStr">
        <is>
          <t xml:space="preserve">Secondary Air Fan Cooling</t>
        </is>
      </c>
      <c r="D54" s="25"/>
      <c r="E54" s="25"/>
      <c r="F54" s="25"/>
      <c r="G54" s="25"/>
      <c r="H54" s="25"/>
      <c r="I54" s="25"/>
      <c r="J54" s="33"/>
      <c r="K54" s="33"/>
      <c r="L54" s="25"/>
    </row>
    <row r="55" x14ac:dyDescent="0.15">
      <c r="A55" s="2">
        <v>5</v>
      </c>
      <c r="B55" s="2" t="s">
        <v>58</v>
      </c>
      <c r="C55" s="2" t="s">
        <v>59</v>
      </c>
      <c r="D55" s="2">
        <v>0.1</v>
      </c>
      <c r="E55" s="2">
        <v>1</v>
      </c>
      <c r="F55" s="2">
        <f>E55*D55</f>
        <v>0.1</v>
      </c>
      <c r="G55" s="2">
        <v>0.3</v>
      </c>
      <c r="H55" s="2">
        <v>0.8</v>
      </c>
      <c r="I55" s="2">
        <v>0.75</v>
      </c>
      <c r="J55" s="9">
        <f>F55*G55</f>
        <v>0.03</v>
      </c>
      <c r="K55" s="9">
        <f>J55*I55</f>
        <v>2.2499999999999999E-2</v>
      </c>
      <c r="L55" s="2"/>
    </row>
    <row r="56" x14ac:dyDescent="0.15" ht="42" customHeight="1">
      <c r="A56" s="25"/>
      <c r="B56" s="25"/>
      <c r="C56" s="25" t="inlineStr">
        <is>
          <t xml:space="preserve">Motorized Air Damper</t>
        </is>
      </c>
      <c r="D56" s="25"/>
      <c r="E56" s="25"/>
      <c r="F56" s="25"/>
      <c r="G56" s="25"/>
      <c r="H56" s="25"/>
      <c r="I56" s="25"/>
      <c r="J56" s="33"/>
      <c r="K56" s="33"/>
      <c r="L56" s="25"/>
    </row>
    <row r="57" x14ac:dyDescent="0.15">
      <c r="A57" s="2">
        <v>6</v>
      </c>
      <c r="B57" s="5" t="s">
        <v>60</v>
      </c>
      <c r="C57" s="2" t="s">
        <v>61</v>
      </c>
      <c r="D57" s="2">
        <v>7</v>
      </c>
      <c r="E57" s="2">
        <v>1</v>
      </c>
      <c r="F57" s="2">
        <f>E57*D57</f>
        <v>7</v>
      </c>
      <c r="G57" s="2">
        <v>0.7</v>
      </c>
      <c r="H57" s="2">
        <v>0.8</v>
      </c>
      <c r="I57" s="2">
        <v>0.75</v>
      </c>
      <c r="J57" s="9">
        <f>F57*G57</f>
        <v>4.8999999999999995</v>
      </c>
      <c r="K57" s="9">
        <f>J57*I57</f>
        <v>3.6749999999999998</v>
      </c>
      <c r="L57" s="2"/>
    </row>
    <row r="58" x14ac:dyDescent="0.15" ht="60" customHeight="1">
      <c r="A58" s="25"/>
      <c r="B58" s="32"/>
      <c r="C58" s="25" t="inlineStr">
        <is>
          <t xml:space="preserve">Pulse-Jet Dust Collector</t>
        </is>
      </c>
      <c r="D58" s="25"/>
      <c r="E58" s="25"/>
      <c r="F58" s="25"/>
      <c r="G58" s="25"/>
      <c r="H58" s="25"/>
      <c r="I58" s="25"/>
      <c r="J58" s="33"/>
      <c r="K58" s="33"/>
      <c r="L58" s="25"/>
    </row>
    <row r="59" x14ac:dyDescent="0.15">
      <c r="A59" s="2">
        <v>7</v>
      </c>
      <c r="B59" s="5" t="s">
        <v>62</v>
      </c>
      <c r="C59" s="2" t="s">
        <v>63</v>
      </c>
      <c r="D59" s="2">
        <v>45</v>
      </c>
      <c r="E59" s="2">
        <v>1</v>
      </c>
      <c r="F59" s="2">
        <f>E59*D59</f>
        <v>45</v>
      </c>
      <c r="G59" s="2">
        <v>0.8</v>
      </c>
      <c r="H59" s="2">
        <v>0.8</v>
      </c>
      <c r="I59" s="2">
        <v>0.75</v>
      </c>
      <c r="J59" s="9">
        <f>F59*G59</f>
        <v>36</v>
      </c>
      <c r="K59" s="9">
        <f>J59*I59</f>
        <v>27</v>
      </c>
      <c r="L59" s="2"/>
    </row>
    <row r="60" x14ac:dyDescent="0.15" ht="42" customHeight="1">
      <c r="A60" s="25"/>
      <c r="B60" s="32"/>
      <c r="C60" s="25" t="inlineStr">
        <is>
          <t xml:space="preserve">Centrifugal Fan</t>
        </is>
      </c>
      <c r="D60" s="25"/>
      <c r="E60" s="25"/>
      <c r="F60" s="25"/>
      <c r="G60" s="25"/>
      <c r="H60" s="25"/>
      <c r="I60" s="25"/>
      <c r="J60" s="33"/>
      <c r="K60" s="33"/>
      <c r="L60" s="25"/>
    </row>
    <row r="6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x14ac:dyDescent="0.15" ht="24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</row>
    <row r="63" x14ac:dyDescent="0.15">
      <c r="A63" s="20" t="s">
        <v>64</v>
      </c>
      <c r="B63" s="21"/>
      <c r="C63" s="22"/>
      <c r="D63" s="2"/>
      <c r="E63" s="2"/>
      <c r="F63" s="4">
        <v>57.05</v>
      </c>
      <c r="G63" s="2"/>
      <c r="H63" s="2"/>
      <c r="I63" s="2"/>
      <c r="J63" s="2"/>
      <c r="K63" s="2"/>
      <c r="L63" s="2"/>
    </row>
    <row r="64" x14ac:dyDescent="0.15" ht="24" customHeight="1">
      <c r="A64" s="28" t="inlineStr">
        <is>
          <t xml:space="preserve">Calcination System</t>
        </is>
      </c>
      <c r="B64" s="29"/>
      <c r="C64" s="30"/>
      <c r="D64" s="25"/>
      <c r="E64" s="25"/>
      <c r="F64" s="31"/>
      <c r="G64" s="25"/>
      <c r="H64" s="25"/>
      <c r="I64" s="25"/>
      <c r="J64" s="25"/>
      <c r="K64" s="25"/>
      <c r="L64" s="25"/>
    </row>
    <row r="65" x14ac:dyDescent="0.15">
      <c r="A65" s="2">
        <v>1</v>
      </c>
      <c r="B65" s="5" t="s">
        <v>65</v>
      </c>
      <c r="C65" s="2" t="s">
        <v>66</v>
      </c>
      <c r="D65" s="2">
        <v>1.5</v>
      </c>
      <c r="E65" s="2">
        <v>1</v>
      </c>
      <c r="F65" s="2">
        <f>E65*D65</f>
        <v>1.5</v>
      </c>
      <c r="G65" s="2">
        <v>0.2</v>
      </c>
      <c r="H65" s="2">
        <v>0.8</v>
      </c>
      <c r="I65" s="2">
        <v>0.75</v>
      </c>
      <c r="J65" s="9">
        <f>F65*G65</f>
        <v>0.30000000000000004</v>
      </c>
      <c r="K65" s="9">
        <f>J65*I65</f>
        <v>0.22500000000000003</v>
      </c>
      <c r="L65" s="2"/>
    </row>
    <row r="66" x14ac:dyDescent="0.15" ht="24" customHeight="1">
      <c r="A66" s="25"/>
      <c r="B66" s="32"/>
      <c r="C66" s="25" t="inlineStr">
        <is>
          <t xml:space="preserve">Burner</t>
        </is>
      </c>
      <c r="D66" s="25"/>
      <c r="E66" s="25"/>
      <c r="F66" s="25"/>
      <c r="G66" s="25"/>
      <c r="H66" s="25"/>
      <c r="I66" s="25"/>
      <c r="J66" s="33"/>
      <c r="K66" s="33"/>
      <c r="L66" s="25"/>
    </row>
    <row r="67" x14ac:dyDescent="0.15">
      <c r="A67" s="2">
        <v>2</v>
      </c>
      <c r="B67" s="5" t="s">
        <v>67</v>
      </c>
      <c r="C67" s="2" t="s">
        <v>68</v>
      </c>
      <c r="D67" s="2">
        <v>55</v>
      </c>
      <c r="E67" s="2">
        <v>1</v>
      </c>
      <c r="F67" s="2">
        <f>E67*D67</f>
        <v>55</v>
      </c>
      <c r="G67" s="2">
        <v>0.85</v>
      </c>
      <c r="H67" s="2">
        <v>0.8</v>
      </c>
      <c r="I67" s="2">
        <v>0.75</v>
      </c>
      <c r="J67" s="9">
        <f>F67*G67</f>
        <v>46.75</v>
      </c>
      <c r="K67" s="9">
        <f>J67*I67</f>
        <v>35.0625</v>
      </c>
      <c r="L67" s="2" t="s">
        <v>16</v>
      </c>
    </row>
    <row r="68" x14ac:dyDescent="0.15" ht="42" customHeight="1">
      <c r="A68" s="25"/>
      <c r="B68" s="32"/>
      <c r="C68" s="25" t="inlineStr">
        <is>
          <t xml:space="preserve">Primary Air Fan</t>
        </is>
      </c>
      <c r="D68" s="25"/>
      <c r="E68" s="25"/>
      <c r="F68" s="25"/>
      <c r="G68" s="25"/>
      <c r="H68" s="25"/>
      <c r="I68" s="25"/>
      <c r="J68" s="33"/>
      <c r="K68" s="33"/>
      <c r="L68" s="25" t="inlineStr">
        <is>
          <t xml:space="preserve">VFD</t>
        </is>
      </c>
    </row>
    <row r="69" x14ac:dyDescent="0.15">
      <c r="A69" s="2">
        <v>3</v>
      </c>
      <c r="B69" s="5" t="s">
        <v>69</v>
      </c>
      <c r="C69" s="2" t="s">
        <v>70</v>
      </c>
      <c r="D69" s="2">
        <v>0.55000000000000004</v>
      </c>
      <c r="E69" s="2">
        <v>1</v>
      </c>
      <c r="F69" s="2">
        <f>E69*D69</f>
        <v>0.55000000000000004</v>
      </c>
      <c r="G69" s="2">
        <v>0.8</v>
      </c>
      <c r="H69" s="2">
        <v>0.8</v>
      </c>
      <c r="I69" s="2">
        <v>0.75</v>
      </c>
      <c r="J69" s="9">
        <f>F69*G69</f>
        <v>0.44000000000000006</v>
      </c>
      <c r="K69" s="9">
        <f>J69*I69</f>
        <v>0.33000000000000007</v>
      </c>
      <c r="L69" s="2"/>
    </row>
    <row r="70" x14ac:dyDescent="0.15" ht="60" customHeight="1">
      <c r="A70" s="25"/>
      <c r="B70" s="32"/>
      <c r="C70" s="25" t="inlineStr">
        <is>
          <t xml:space="preserve">Primary Air Fan Cooling</t>
        </is>
      </c>
      <c r="D70" s="25"/>
      <c r="E70" s="25"/>
      <c r="F70" s="25"/>
      <c r="G70" s="25"/>
      <c r="H70" s="25"/>
      <c r="I70" s="25"/>
      <c r="J70" s="33"/>
      <c r="K70" s="33"/>
      <c r="L70" s="25"/>
    </row>
    <row r="71" x14ac:dyDescent="0.15">
      <c r="A71" s="2"/>
      <c r="B71" s="5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x14ac:dyDescent="0.15" ht="24" customHeight="1">
      <c r="A72" s="25"/>
      <c r="B72" s="32"/>
      <c r="C72" s="25"/>
      <c r="D72" s="25"/>
      <c r="E72" s="25"/>
      <c r="F72" s="25"/>
      <c r="G72" s="25"/>
      <c r="H72" s="25"/>
      <c r="I72" s="25"/>
      <c r="J72" s="25"/>
      <c r="K72" s="25"/>
      <c r="L72" s="25"/>
    </row>
    <row r="73" x14ac:dyDescent="0.15">
      <c r="A73" s="14" t="s">
        <v>71</v>
      </c>
      <c r="B73" s="15"/>
      <c r="C73" s="16"/>
      <c r="D73" s="2"/>
      <c r="E73" s="2"/>
      <c r="F73" s="4">
        <v>52.9</v>
      </c>
      <c r="G73" s="2"/>
      <c r="H73" s="2"/>
      <c r="I73" s="2"/>
      <c r="J73" s="2"/>
      <c r="K73" s="2"/>
      <c r="L73" s="2"/>
    </row>
    <row r="74" x14ac:dyDescent="0.15" ht="42" customHeight="1">
      <c r="A74" s="34" t="inlineStr">
        <is>
          <t xml:space="preserve">Finished Product Conveying System</t>
        </is>
      </c>
      <c r="B74" s="35"/>
      <c r="C74" s="36"/>
      <c r="D74" s="25"/>
      <c r="E74" s="25"/>
      <c r="F74" s="31"/>
      <c r="G74" s="25"/>
      <c r="H74" s="25"/>
      <c r="I74" s="25"/>
      <c r="J74" s="25"/>
      <c r="K74" s="25"/>
      <c r="L74" s="25"/>
    </row>
    <row r="75" x14ac:dyDescent="0.15">
      <c r="A75" s="2">
        <v>1</v>
      </c>
      <c r="B75" s="5" t="s">
        <v>72</v>
      </c>
      <c r="C75" s="2" t="s">
        <v>73</v>
      </c>
      <c r="D75" s="2">
        <v>11</v>
      </c>
      <c r="E75" s="2">
        <v>1</v>
      </c>
      <c r="F75" s="2">
        <f>E75*D75</f>
        <v>11</v>
      </c>
      <c r="G75" s="2">
        <v>0.8</v>
      </c>
      <c r="H75" s="2">
        <v>0.8</v>
      </c>
      <c r="I75" s="2">
        <v>0.75</v>
      </c>
      <c r="J75" s="9">
        <f>F75*G75</f>
        <v>8.8000000000000007</v>
      </c>
      <c r="K75" s="9">
        <f>J75*I75</f>
        <v>6.6000000000000005</v>
      </c>
      <c r="L75" s="2"/>
    </row>
    <row r="76" x14ac:dyDescent="0.15" ht="60" customHeight="1">
      <c r="A76" s="25"/>
      <c r="B76" s="32"/>
      <c r="C76" s="25" t="inlineStr">
        <is>
          <t xml:space="preserve">Bucket Chain Conveyor</t>
        </is>
      </c>
      <c r="D76" s="25"/>
      <c r="E76" s="25"/>
      <c r="F76" s="25"/>
      <c r="G76" s="25"/>
      <c r="H76" s="25"/>
      <c r="I76" s="25"/>
      <c r="J76" s="33"/>
      <c r="K76" s="33"/>
      <c r="L76" s="25"/>
    </row>
    <row r="77" x14ac:dyDescent="0.15">
      <c r="A77" s="2">
        <v>2</v>
      </c>
      <c r="B77" s="5" t="s">
        <v>74</v>
      </c>
      <c r="C77" s="2" t="s">
        <v>75</v>
      </c>
      <c r="D77" s="2">
        <v>30</v>
      </c>
      <c r="E77" s="2">
        <v>1</v>
      </c>
      <c r="F77" s="2">
        <f>E77*D77</f>
        <v>30</v>
      </c>
      <c r="G77" s="2">
        <v>0.8</v>
      </c>
      <c r="H77" s="2">
        <v>0.8</v>
      </c>
      <c r="I77" s="2">
        <v>0.75</v>
      </c>
      <c r="J77" s="9">
        <f>F77*G77</f>
        <v>24</v>
      </c>
      <c r="K77" s="9">
        <f>J77*I77</f>
        <v>18</v>
      </c>
      <c r="L77" s="2"/>
    </row>
    <row r="78" x14ac:dyDescent="0.15" ht="42" customHeight="1">
      <c r="A78" s="25"/>
      <c r="B78" s="32"/>
      <c r="C78" s="25" t="inlineStr">
        <is>
          <t xml:space="preserve">Bucket Elevator</t>
        </is>
      </c>
      <c r="D78" s="25"/>
      <c r="E78" s="25"/>
      <c r="F78" s="25"/>
      <c r="G78" s="25"/>
      <c r="H78" s="25"/>
      <c r="I78" s="25"/>
      <c r="J78" s="33"/>
      <c r="K78" s="33"/>
      <c r="L78" s="25"/>
    </row>
    <row r="79" x14ac:dyDescent="0.15">
      <c r="A79" s="2">
        <v>3</v>
      </c>
      <c r="B79" s="5" t="s">
        <v>76</v>
      </c>
      <c r="C79" s="2" t="s">
        <v>77</v>
      </c>
      <c r="D79" s="2">
        <v>7.5</v>
      </c>
      <c r="E79" s="2">
        <v>1</v>
      </c>
      <c r="F79" s="2">
        <f>E79*D79</f>
        <v>7.5</v>
      </c>
      <c r="G79" s="2">
        <v>0</v>
      </c>
      <c r="H79" s="2">
        <v>0.8</v>
      </c>
      <c r="I79" s="2">
        <v>0.75</v>
      </c>
      <c r="J79" s="9">
        <f>F79*G79</f>
        <v>0</v>
      </c>
      <c r="K79" s="9">
        <f>J79*I79</f>
        <v>0</v>
      </c>
      <c r="L79" s="2"/>
    </row>
    <row r="80" x14ac:dyDescent="0.15" ht="42" customHeight="1">
      <c r="A80" s="25"/>
      <c r="B80" s="32"/>
      <c r="C80" s="25" t="inlineStr">
        <is>
          <t xml:space="preserve">Auxiliary Motor</t>
        </is>
      </c>
      <c r="D80" s="25"/>
      <c r="E80" s="25"/>
      <c r="F80" s="25"/>
      <c r="G80" s="25"/>
      <c r="H80" s="25"/>
      <c r="I80" s="25"/>
      <c r="J80" s="33"/>
      <c r="K80" s="33"/>
      <c r="L80" s="25"/>
    </row>
    <row r="81" x14ac:dyDescent="0.15">
      <c r="A81" s="2">
        <v>4</v>
      </c>
      <c r="B81" s="5" t="s">
        <v>78</v>
      </c>
      <c r="C81" s="2" t="s">
        <v>79</v>
      </c>
      <c r="D81" s="2">
        <v>2.2000000000000002</v>
      </c>
      <c r="E81" s="2">
        <v>2</v>
      </c>
      <c r="F81" s="2">
        <f>E81*D81</f>
        <v>4.4000000000000004</v>
      </c>
      <c r="G81" s="2">
        <v>0.5</v>
      </c>
      <c r="H81" s="2">
        <v>0.8</v>
      </c>
      <c r="I81" s="2">
        <v>0.75</v>
      </c>
      <c r="J81" s="9">
        <f>F81*G81</f>
        <v>2.2000000000000002</v>
      </c>
      <c r="K81" s="9">
        <f>J81*I81</f>
        <v>1.6500000000000001</v>
      </c>
      <c r="L81" s="2"/>
    </row>
    <row r="82" x14ac:dyDescent="0.15" ht="60" customHeight="1">
      <c r="A82" s="25"/>
      <c r="B82" s="32"/>
      <c r="C82" s="25" t="inlineStr">
        <is>
          <t xml:space="preserve">Lump Material Bulk Loader</t>
        </is>
      </c>
      <c r="D82" s="25"/>
      <c r="E82" s="25"/>
      <c r="F82" s="25"/>
      <c r="G82" s="25"/>
      <c r="H82" s="25"/>
      <c r="I82" s="25"/>
      <c r="J82" s="33"/>
      <c r="K82" s="33"/>
      <c r="L82" s="25"/>
    </row>
    <row r="83" x14ac:dyDescent="0.15">
      <c r="A83" s="2"/>
      <c r="B83" s="5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x14ac:dyDescent="0.15" ht="24" customHeight="1">
      <c r="A84" s="25"/>
      <c r="B84" s="32"/>
      <c r="C84" s="25"/>
      <c r="D84" s="25"/>
      <c r="E84" s="25"/>
      <c r="F84" s="25"/>
      <c r="G84" s="25"/>
      <c r="H84" s="25"/>
      <c r="I84" s="25"/>
      <c r="J84" s="25"/>
      <c r="K84" s="25"/>
      <c r="L84" s="25"/>
    </row>
    <row r="85" x14ac:dyDescent="0.15">
      <c r="A85" s="14" t="s">
        <v>80</v>
      </c>
      <c r="B85" s="15"/>
      <c r="C85" s="16"/>
      <c r="D85" s="2"/>
      <c r="E85" s="2"/>
      <c r="F85" s="4">
        <v>820.5</v>
      </c>
      <c r="G85" s="2"/>
      <c r="H85" s="2"/>
      <c r="I85" s="2"/>
      <c r="J85" s="2"/>
      <c r="K85" s="2"/>
      <c r="L85" s="2"/>
    </row>
    <row r="86" x14ac:dyDescent="0.15" ht="42" customHeight="1">
      <c r="A86" s="34" t="inlineStr">
        <is>
          <t xml:space="preserve">Exhaust Gas Treatment System</t>
        </is>
      </c>
      <c r="B86" s="35"/>
      <c r="C86" s="36"/>
      <c r="D86" s="25"/>
      <c r="E86" s="25"/>
      <c r="F86" s="31"/>
      <c r="G86" s="25"/>
      <c r="H86" s="25"/>
      <c r="I86" s="25"/>
      <c r="J86" s="25"/>
      <c r="K86" s="25"/>
      <c r="L86" s="25"/>
    </row>
    <row r="87" x14ac:dyDescent="0.15">
      <c r="A87" s="2">
        <v>1</v>
      </c>
      <c r="B87" s="5" t="s">
        <v>81</v>
      </c>
      <c r="C87" s="2" t="s">
        <v>82</v>
      </c>
      <c r="D87" s="2">
        <v>1</v>
      </c>
      <c r="E87" s="2">
        <v>1</v>
      </c>
      <c r="F87" s="2">
        <f>E87*D87</f>
        <v>1</v>
      </c>
      <c r="G87" s="2">
        <v>0.7</v>
      </c>
      <c r="H87" s="2">
        <v>0.8</v>
      </c>
      <c r="I87" s="2">
        <v>0.75</v>
      </c>
      <c r="J87" s="9">
        <f>F87*G87</f>
        <v>0.7</v>
      </c>
      <c r="K87" s="9">
        <f>J87*I87</f>
        <v>0.52499999999999991</v>
      </c>
      <c r="L87" s="2"/>
    </row>
    <row r="88" x14ac:dyDescent="0.15" ht="24" customHeight="1">
      <c r="A88" s="25"/>
      <c r="B88" s="32"/>
      <c r="C88" s="25" t="inlineStr">
        <is>
          <t xml:space="preserve">Bag Filter</t>
        </is>
      </c>
      <c r="D88" s="25"/>
      <c r="E88" s="25"/>
      <c r="F88" s="25"/>
      <c r="G88" s="25"/>
      <c r="H88" s="25"/>
      <c r="I88" s="25"/>
      <c r="J88" s="33"/>
      <c r="K88" s="33"/>
      <c r="L88" s="25"/>
    </row>
    <row r="89" x14ac:dyDescent="0.15">
      <c r="A89" s="2">
        <v>2</v>
      </c>
      <c r="B89" s="5" t="s">
        <v>83</v>
      </c>
      <c r="C89" s="2" t="s">
        <v>84</v>
      </c>
      <c r="D89" s="2">
        <v>0.25</v>
      </c>
      <c r="E89" s="2">
        <v>1</v>
      </c>
      <c r="F89" s="2">
        <f>E89*D89</f>
        <v>0.25</v>
      </c>
      <c r="G89" s="2">
        <v>0.3</v>
      </c>
      <c r="H89" s="2">
        <v>0.8</v>
      </c>
      <c r="I89" s="2">
        <v>0.75</v>
      </c>
      <c r="J89" s="9">
        <f>F89*G89</f>
        <v>7.4999999999999997E-2</v>
      </c>
      <c r="K89" s="9">
        <f>J89*I89</f>
        <v>5.6249999999999994E-2</v>
      </c>
      <c r="L89" s="2"/>
    </row>
    <row r="90" x14ac:dyDescent="0.15" ht="42" customHeight="1">
      <c r="A90" s="25"/>
      <c r="B90" s="32"/>
      <c r="C90" s="25" t="inlineStr">
        <is>
          <t xml:space="preserve">Cold Air Valve</t>
        </is>
      </c>
      <c r="D90" s="25"/>
      <c r="E90" s="25"/>
      <c r="F90" s="25"/>
      <c r="G90" s="25"/>
      <c r="H90" s="25"/>
      <c r="I90" s="25"/>
      <c r="J90" s="33"/>
      <c r="K90" s="33"/>
      <c r="L90" s="25"/>
    </row>
    <row r="91" x14ac:dyDescent="0.15">
      <c r="A91" s="2">
        <v>3</v>
      </c>
      <c r="B91" s="6" t="s">
        <v>85</v>
      </c>
      <c r="C91" s="7" t="s">
        <v>86</v>
      </c>
      <c r="D91" s="7">
        <v>710</v>
      </c>
      <c r="E91" s="7">
        <v>1</v>
      </c>
      <c r="F91" s="7">
        <f>E91*D91</f>
        <v>710</v>
      </c>
      <c r="G91" s="7">
        <v>0.8</v>
      </c>
      <c r="H91" s="7">
        <v>0.95</v>
      </c>
      <c r="I91" s="7">
        <v>0.31</v>
      </c>
      <c r="J91" s="10">
        <f>F91*G91</f>
        <v>568</v>
      </c>
      <c r="K91" s="10">
        <f>J91*I91</f>
        <v>176.08</v>
      </c>
      <c r="L91" s="7" t="s">
        <v>87</v>
      </c>
    </row>
    <row r="92" x14ac:dyDescent="0.15" ht="42" customHeight="1">
      <c r="A92" s="25"/>
      <c r="B92" s="37"/>
      <c r="C92" s="38" t="inlineStr">
        <is>
          <t xml:space="preserve">High-Temperature Fan</t>
        </is>
      </c>
      <c r="D92" s="38"/>
      <c r="E92" s="38"/>
      <c r="F92" s="38"/>
      <c r="G92" s="38"/>
      <c r="H92" s="38"/>
      <c r="I92" s="38"/>
      <c r="J92" s="39"/>
      <c r="K92" s="39"/>
      <c r="L92" s="38"/>
    </row>
    <row r="93" x14ac:dyDescent="0.15">
      <c r="A93" s="2">
        <v>4</v>
      </c>
      <c r="B93" s="5" t="s">
        <v>88</v>
      </c>
      <c r="C93" s="2" t="s">
        <v>59</v>
      </c>
      <c r="D93" s="2">
        <v>0.35</v>
      </c>
      <c r="E93" s="2">
        <v>1</v>
      </c>
      <c r="F93" s="2">
        <f>E93*D93</f>
        <v>0.35</v>
      </c>
      <c r="G93" s="2">
        <v>0.3</v>
      </c>
      <c r="H93" s="2">
        <v>0.8</v>
      </c>
      <c r="I93" s="2">
        <v>0.75</v>
      </c>
      <c r="J93" s="9">
        <f>F93*G93</f>
        <v>0.105</v>
      </c>
      <c r="K93" s="9">
        <f>J93*I93</f>
        <v>7.8750000000000001E-2</v>
      </c>
      <c r="L93" s="2"/>
    </row>
    <row r="94" x14ac:dyDescent="0.15" ht="42" customHeight="1">
      <c r="A94" s="25"/>
      <c r="B94" s="32"/>
      <c r="C94" s="25" t="inlineStr">
        <is>
          <t xml:space="preserve">Motorized Air Damper</t>
        </is>
      </c>
      <c r="D94" s="25"/>
      <c r="E94" s="25"/>
      <c r="F94" s="25"/>
      <c r="G94" s="25"/>
      <c r="H94" s="25"/>
      <c r="I94" s="25"/>
      <c r="J94" s="33"/>
      <c r="K94" s="33"/>
      <c r="L94" s="25"/>
    </row>
    <row r="95" x14ac:dyDescent="0.15">
      <c r="A95" s="2">
        <v>5</v>
      </c>
      <c r="B95" s="5" t="s">
        <v>89</v>
      </c>
      <c r="C95" s="2" t="s">
        <v>90</v>
      </c>
      <c r="D95" s="2">
        <v>99.9</v>
      </c>
      <c r="E95" s="2">
        <v>1</v>
      </c>
      <c r="F95" s="2">
        <f>E95*D95</f>
        <v>99.9</v>
      </c>
      <c r="G95" s="2">
        <v>0.75</v>
      </c>
      <c r="H95" s="2">
        <v>0.8</v>
      </c>
      <c r="I95" s="2">
        <v>0.75</v>
      </c>
      <c r="J95" s="9">
        <f>F95*G95</f>
        <v>74.925000000000011</v>
      </c>
      <c r="K95" s="9">
        <f>J95*I95</f>
        <v>56.193750000000009</v>
      </c>
      <c r="L95" s="2"/>
    </row>
    <row r="96" x14ac:dyDescent="0.15" ht="60" customHeight="1">
      <c r="A96" s="25"/>
      <c r="B96" s="32"/>
      <c r="C96" s="25" t="inlineStr">
        <is>
          <t xml:space="preserve">Pneumatic Conveying System</t>
        </is>
      </c>
      <c r="D96" s="25"/>
      <c r="E96" s="25"/>
      <c r="F96" s="25"/>
      <c r="G96" s="25"/>
      <c r="H96" s="25"/>
      <c r="I96" s="25"/>
      <c r="J96" s="33"/>
      <c r="K96" s="33"/>
      <c r="L96" s="25"/>
    </row>
    <row r="97" x14ac:dyDescent="0.15">
      <c r="A97" s="2">
        <v>6</v>
      </c>
      <c r="B97" s="5" t="s">
        <v>91</v>
      </c>
      <c r="C97" s="2" t="s">
        <v>92</v>
      </c>
      <c r="D97" s="2">
        <v>1.5</v>
      </c>
      <c r="E97" s="2">
        <v>1</v>
      </c>
      <c r="F97" s="2">
        <f>E97*D97</f>
        <v>1.5</v>
      </c>
      <c r="G97" s="2">
        <v>0.5</v>
      </c>
      <c r="H97" s="2">
        <v>0.8</v>
      </c>
      <c r="I97" s="2">
        <v>0.75</v>
      </c>
      <c r="J97" s="9">
        <f>F97*G97</f>
        <v>0.75</v>
      </c>
      <c r="K97" s="9">
        <f>J97*I97</f>
        <v>0.5625</v>
      </c>
      <c r="L97" s="2"/>
    </row>
    <row r="98" x14ac:dyDescent="0.15" ht="42" customHeight="1">
      <c r="A98" s="25"/>
      <c r="B98" s="32"/>
      <c r="C98" s="25" t="inlineStr">
        <is>
          <t xml:space="preserve">Powder Bulk Loader</t>
        </is>
      </c>
      <c r="D98" s="25"/>
      <c r="E98" s="25"/>
      <c r="F98" s="25"/>
      <c r="G98" s="25"/>
      <c r="H98" s="25"/>
      <c r="I98" s="25"/>
      <c r="J98" s="33"/>
      <c r="K98" s="33"/>
      <c r="L98" s="25"/>
    </row>
    <row r="99" x14ac:dyDescent="0.15">
      <c r="A99" s="2">
        <v>7</v>
      </c>
      <c r="B99" s="5" t="s">
        <v>93</v>
      </c>
      <c r="C99" s="2" t="s">
        <v>94</v>
      </c>
      <c r="D99" s="2">
        <v>7.5</v>
      </c>
      <c r="E99" s="2">
        <v>1</v>
      </c>
      <c r="F99" s="2">
        <f>E99*D99</f>
        <v>7.5</v>
      </c>
      <c r="G99" s="2">
        <v>0.7</v>
      </c>
      <c r="H99" s="2">
        <v>0.8</v>
      </c>
      <c r="I99" s="2">
        <v>0.75</v>
      </c>
      <c r="J99" s="9">
        <f>F99*G99</f>
        <v>5.25</v>
      </c>
      <c r="K99" s="9">
        <f>J99*I99</f>
        <v>3.9375</v>
      </c>
      <c r="L99" s="2"/>
    </row>
    <row r="100" x14ac:dyDescent="0.15" ht="60" customHeight="1">
      <c r="A100" s="25"/>
      <c r="B100" s="32"/>
      <c r="C100" s="25" t="inlineStr">
        <is>
          <t xml:space="preserve">Product Silo Dust Collector</t>
        </is>
      </c>
      <c r="D100" s="25"/>
      <c r="E100" s="25"/>
      <c r="F100" s="25"/>
      <c r="G100" s="25"/>
      <c r="H100" s="25"/>
      <c r="I100" s="25"/>
      <c r="J100" s="33"/>
      <c r="K100" s="33"/>
      <c r="L100" s="25"/>
    </row>
    <row r="101" x14ac:dyDescent="0.15">
      <c r="A101" s="2"/>
      <c r="B101" s="5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x14ac:dyDescent="0.15" ht="24" customHeight="1">
      <c r="A102" s="25"/>
      <c r="B102" s="32"/>
      <c r="C102" s="25"/>
      <c r="D102" s="25"/>
      <c r="E102" s="25"/>
      <c r="F102" s="25"/>
      <c r="G102" s="25"/>
      <c r="H102" s="25"/>
      <c r="I102" s="25"/>
      <c r="J102" s="25"/>
      <c r="K102" s="25"/>
      <c r="L102" s="25"/>
    </row>
    <row r="103" x14ac:dyDescent="0.15">
      <c r="A103" s="14" t="s">
        <v>95</v>
      </c>
      <c r="B103" s="15"/>
      <c r="C103" s="16"/>
      <c r="D103" s="2"/>
      <c r="E103" s="2"/>
      <c r="F103" s="4">
        <v>407</v>
      </c>
      <c r="G103" s="2"/>
      <c r="H103" s="2"/>
      <c r="I103" s="2"/>
      <c r="J103" s="2"/>
      <c r="K103" s="2"/>
      <c r="L103" s="2"/>
    </row>
    <row r="104" x14ac:dyDescent="0.15" ht="42" customHeight="1">
      <c r="A104" s="34" t="inlineStr">
        <is>
          <t xml:space="preserve">Product Lime Briquetting System</t>
        </is>
      </c>
      <c r="B104" s="35"/>
      <c r="C104" s="36"/>
      <c r="D104" s="25"/>
      <c r="E104" s="25"/>
      <c r="F104" s="31"/>
      <c r="G104" s="25"/>
      <c r="H104" s="25"/>
      <c r="I104" s="25"/>
      <c r="J104" s="25"/>
      <c r="K104" s="25"/>
      <c r="L104" s="25"/>
    </row>
    <row r="105" x14ac:dyDescent="0.15">
      <c r="A105" s="2">
        <v>1</v>
      </c>
      <c r="B105" s="5" t="s">
        <v>96</v>
      </c>
      <c r="C105" s="2" t="s">
        <v>97</v>
      </c>
      <c r="D105" s="2">
        <v>7.5</v>
      </c>
      <c r="E105" s="2">
        <v>1</v>
      </c>
      <c r="F105" s="2">
        <f>E105*D105</f>
        <v>7.5</v>
      </c>
      <c r="G105" s="2">
        <v>0.8</v>
      </c>
      <c r="H105" s="2">
        <v>0.8</v>
      </c>
      <c r="I105" s="2">
        <v>0.75</v>
      </c>
      <c r="J105" s="9">
        <f>F105*G105</f>
        <v>6</v>
      </c>
      <c r="K105" s="9">
        <f>J105*I105</f>
        <v>4.5</v>
      </c>
      <c r="L105" s="2" t="s">
        <v>16</v>
      </c>
    </row>
    <row r="106" x14ac:dyDescent="0.15" ht="42" customHeight="1">
      <c r="A106" s="25"/>
      <c r="B106" s="32"/>
      <c r="C106" s="25" t="inlineStr">
        <is>
          <t xml:space="preserve">Screw Conveyor</t>
        </is>
      </c>
      <c r="D106" s="25"/>
      <c r="E106" s="25"/>
      <c r="F106" s="25"/>
      <c r="G106" s="25"/>
      <c r="H106" s="25"/>
      <c r="I106" s="25"/>
      <c r="J106" s="33"/>
      <c r="K106" s="33"/>
      <c r="L106" s="25" t="inlineStr">
        <is>
          <t xml:space="preserve">VFD</t>
        </is>
      </c>
    </row>
    <row r="107" x14ac:dyDescent="0.15">
      <c r="A107" s="2">
        <v>2</v>
      </c>
      <c r="B107" s="5" t="s">
        <v>98</v>
      </c>
      <c r="C107" s="2" t="s">
        <v>99</v>
      </c>
      <c r="D107" s="2">
        <v>3</v>
      </c>
      <c r="E107" s="2">
        <v>1</v>
      </c>
      <c r="F107" s="2">
        <f>E107*D107</f>
        <v>3</v>
      </c>
      <c r="G107" s="2">
        <v>0.8</v>
      </c>
      <c r="H107" s="2">
        <v>0.8</v>
      </c>
      <c r="I107" s="2">
        <v>0.75</v>
      </c>
      <c r="J107" s="9">
        <f>F107*G107</f>
        <v>2.4000000000000004</v>
      </c>
      <c r="K107" s="9">
        <f>J107*I107</f>
        <v>1.8000000000000003</v>
      </c>
      <c r="L107" s="2"/>
    </row>
    <row r="108" x14ac:dyDescent="0.15" ht="42" customHeight="1">
      <c r="A108" s="25"/>
      <c r="B108" s="32"/>
      <c r="C108" s="25" t="inlineStr">
        <is>
          <t xml:space="preserve">Scraper Conveyor</t>
        </is>
      </c>
      <c r="D108" s="25"/>
      <c r="E108" s="25"/>
      <c r="F108" s="25"/>
      <c r="G108" s="25"/>
      <c r="H108" s="25"/>
      <c r="I108" s="25"/>
      <c r="J108" s="33"/>
      <c r="K108" s="33"/>
      <c r="L108" s="25"/>
    </row>
    <row r="109" x14ac:dyDescent="0.15">
      <c r="A109" s="2">
        <v>3</v>
      </c>
      <c r="B109" s="5" t="s">
        <v>100</v>
      </c>
      <c r="C109" s="2" t="s">
        <v>101</v>
      </c>
      <c r="D109" s="2">
        <v>1.5</v>
      </c>
      <c r="E109" s="2">
        <v>1</v>
      </c>
      <c r="F109" s="2">
        <f>E109*D109</f>
        <v>1.5</v>
      </c>
      <c r="G109" s="2">
        <v>0.3</v>
      </c>
      <c r="H109" s="2">
        <v>0.8</v>
      </c>
      <c r="I109" s="2">
        <v>0.75</v>
      </c>
      <c r="J109" s="9">
        <f>F109*G109</f>
        <v>0.44999999999999996</v>
      </c>
      <c r="K109" s="9">
        <f>J109*I109</f>
        <v>0.33749999999999997</v>
      </c>
      <c r="L109" s="2"/>
    </row>
    <row r="110" x14ac:dyDescent="0.15" ht="60" customHeight="1">
      <c r="A110" s="25"/>
      <c r="B110" s="32"/>
      <c r="C110" s="25" t="inlineStr">
        <is>
          <t xml:space="preserve">Motorized Three-Way Valve</t>
        </is>
      </c>
      <c r="D110" s="25"/>
      <c r="E110" s="25"/>
      <c r="F110" s="25"/>
      <c r="G110" s="25"/>
      <c r="H110" s="25"/>
      <c r="I110" s="25"/>
      <c r="J110" s="33"/>
      <c r="K110" s="33"/>
      <c r="L110" s="25"/>
    </row>
    <row r="111" x14ac:dyDescent="0.15">
      <c r="A111" s="2">
        <v>4</v>
      </c>
      <c r="B111" s="5" t="s">
        <v>102</v>
      </c>
      <c r="C111" s="2" t="s">
        <v>103</v>
      </c>
      <c r="D111" s="2">
        <v>7.5</v>
      </c>
      <c r="E111" s="2">
        <v>2</v>
      </c>
      <c r="F111" s="2">
        <f>E111*D111</f>
        <v>15</v>
      </c>
      <c r="G111" s="2">
        <v>0.8</v>
      </c>
      <c r="H111" s="2">
        <v>0.8</v>
      </c>
      <c r="I111" s="2">
        <v>0.75</v>
      </c>
      <c r="J111" s="9">
        <f>F111*G111</f>
        <v>12</v>
      </c>
      <c r="K111" s="9">
        <f>J111*I111</f>
        <v>9</v>
      </c>
      <c r="L111" s="2"/>
    </row>
    <row r="112" x14ac:dyDescent="0.15" ht="42" customHeight="1">
      <c r="A112" s="25"/>
      <c r="B112" s="32"/>
      <c r="C112" s="25" t="inlineStr">
        <is>
          <t xml:space="preserve">Bucket Elevator</t>
        </is>
      </c>
      <c r="D112" s="25"/>
      <c r="E112" s="25"/>
      <c r="F112" s="25"/>
      <c r="G112" s="25"/>
      <c r="H112" s="25"/>
      <c r="I112" s="25"/>
      <c r="J112" s="33"/>
      <c r="K112" s="33"/>
      <c r="L112" s="25"/>
    </row>
    <row r="113" x14ac:dyDescent="0.15">
      <c r="A113" s="2">
        <v>5</v>
      </c>
      <c r="B113" s="5" t="s">
        <v>104</v>
      </c>
      <c r="C113" s="2" t="s">
        <v>105</v>
      </c>
      <c r="D113" s="2">
        <v>3</v>
      </c>
      <c r="E113" s="2">
        <v>2</v>
      </c>
      <c r="F113" s="2">
        <f>E113*D113</f>
        <v>6</v>
      </c>
      <c r="G113" s="2">
        <v>0.7</v>
      </c>
      <c r="H113" s="2">
        <v>0.8</v>
      </c>
      <c r="I113" s="2">
        <v>0.75</v>
      </c>
      <c r="J113" s="9">
        <f>F113*G113</f>
        <v>4.1999999999999993</v>
      </c>
      <c r="K113" s="9">
        <f>J113*I113</f>
        <v>3.1499999999999995</v>
      </c>
      <c r="L113" s="2"/>
    </row>
    <row r="114" x14ac:dyDescent="0.15" ht="60" customHeight="1">
      <c r="A114" s="25"/>
      <c r="B114" s="32"/>
      <c r="C114" s="25" t="inlineStr">
        <is>
          <t xml:space="preserve">Silo-Top Dust Collector</t>
        </is>
      </c>
      <c r="D114" s="25"/>
      <c r="E114" s="25"/>
      <c r="F114" s="25"/>
      <c r="G114" s="25"/>
      <c r="H114" s="25"/>
      <c r="I114" s="25"/>
      <c r="J114" s="33"/>
      <c r="K114" s="33"/>
      <c r="L114" s="25"/>
    </row>
    <row r="115" x14ac:dyDescent="0.15">
      <c r="A115" s="2">
        <v>6</v>
      </c>
      <c r="B115" s="5" t="s">
        <v>106</v>
      </c>
      <c r="C115" s="2" t="s">
        <v>97</v>
      </c>
      <c r="D115" s="2">
        <v>3</v>
      </c>
      <c r="E115" s="2">
        <v>2</v>
      </c>
      <c r="F115" s="2">
        <f>E115*D115</f>
        <v>6</v>
      </c>
      <c r="G115" s="2">
        <v>0.8</v>
      </c>
      <c r="H115" s="2">
        <v>0.95</v>
      </c>
      <c r="I115" s="2">
        <v>0.31</v>
      </c>
      <c r="J115" s="9">
        <f>F115*G115</f>
        <v>4.8000000000000007</v>
      </c>
      <c r="K115" s="9">
        <f>J115*I115</f>
        <v>1.4880000000000002</v>
      </c>
      <c r="L115" s="2" t="s">
        <v>16</v>
      </c>
    </row>
    <row r="116" x14ac:dyDescent="0.15" ht="42" customHeight="1">
      <c r="A116" s="25"/>
      <c r="B116" s="32"/>
      <c r="C116" s="25" t="inlineStr">
        <is>
          <t xml:space="preserve">Screw Conveyor</t>
        </is>
      </c>
      <c r="D116" s="25"/>
      <c r="E116" s="25"/>
      <c r="F116" s="25"/>
      <c r="G116" s="25"/>
      <c r="H116" s="25"/>
      <c r="I116" s="25"/>
      <c r="J116" s="33"/>
      <c r="K116" s="33"/>
      <c r="L116" s="25" t="inlineStr">
        <is>
          <t xml:space="preserve">VFD</t>
        </is>
      </c>
    </row>
    <row r="117" x14ac:dyDescent="0.15">
      <c r="A117" s="2">
        <v>7</v>
      </c>
      <c r="B117" s="5" t="s">
        <v>107</v>
      </c>
      <c r="C117" s="2" t="s">
        <v>108</v>
      </c>
      <c r="D117" s="2">
        <v>11</v>
      </c>
      <c r="E117" s="2">
        <v>2</v>
      </c>
      <c r="F117" s="2">
        <f>E117*D117</f>
        <v>22</v>
      </c>
      <c r="G117" s="2">
        <v>0.8</v>
      </c>
      <c r="H117" s="2">
        <v>0.8</v>
      </c>
      <c r="I117" s="2">
        <v>0.75</v>
      </c>
      <c r="J117" s="9">
        <f>F117*G117</f>
        <v>17.600000000000001</v>
      </c>
      <c r="K117" s="9">
        <f>J117*I117</f>
        <v>13.200000000000001</v>
      </c>
      <c r="L117" s="2"/>
    </row>
    <row r="118" x14ac:dyDescent="0.15" ht="42" customHeight="1">
      <c r="A118" s="25"/>
      <c r="B118" s="32"/>
      <c r="C118" s="25" t="inlineStr">
        <is>
          <t xml:space="preserve">Twin-Shaft Mixer</t>
        </is>
      </c>
      <c r="D118" s="25"/>
      <c r="E118" s="25"/>
      <c r="F118" s="25"/>
      <c r="G118" s="25"/>
      <c r="H118" s="25"/>
      <c r="I118" s="25"/>
      <c r="J118" s="33"/>
      <c r="K118" s="33"/>
      <c r="L118" s="25"/>
    </row>
    <row r="119" x14ac:dyDescent="0.15">
      <c r="A119" s="2">
        <v>8</v>
      </c>
      <c r="B119" s="5" t="s">
        <v>109</v>
      </c>
      <c r="C119" s="2" t="s">
        <v>110</v>
      </c>
      <c r="D119" s="2">
        <v>170</v>
      </c>
      <c r="E119" s="2">
        <v>2</v>
      </c>
      <c r="F119" s="2">
        <f>E119*D119</f>
        <v>340</v>
      </c>
      <c r="G119" s="2">
        <v>0.7</v>
      </c>
      <c r="H119" s="2">
        <v>0.8</v>
      </c>
      <c r="I119" s="2">
        <v>0.75</v>
      </c>
      <c r="J119" s="9">
        <f>F119*G119</f>
        <v>237.99999999999997</v>
      </c>
      <c r="K119" s="9">
        <f>J119*I119</f>
        <v>178.49999999999997</v>
      </c>
      <c r="L119" s="2"/>
    </row>
    <row r="120" x14ac:dyDescent="0.15" ht="42" customHeight="1">
      <c r="A120" s="25"/>
      <c r="B120" s="32"/>
      <c r="C120" s="25" t="inlineStr">
        <is>
          <t xml:space="preserve">Briquetting Press</t>
        </is>
      </c>
      <c r="D120" s="25"/>
      <c r="E120" s="25"/>
      <c r="F120" s="25"/>
      <c r="G120" s="25"/>
      <c r="H120" s="25"/>
      <c r="I120" s="25"/>
      <c r="J120" s="33"/>
      <c r="K120" s="33"/>
      <c r="L120" s="25"/>
    </row>
    <row r="121" x14ac:dyDescent="0.15">
      <c r="A121" s="2">
        <v>9</v>
      </c>
      <c r="B121" s="5" t="s">
        <v>111</v>
      </c>
      <c r="C121" s="2" t="s">
        <v>112</v>
      </c>
      <c r="D121" s="2">
        <v>3</v>
      </c>
      <c r="E121" s="2">
        <v>2</v>
      </c>
      <c r="F121" s="2">
        <f>E121*D121</f>
        <v>6</v>
      </c>
      <c r="G121" s="2">
        <v>0.8</v>
      </c>
      <c r="H121" s="2">
        <v>0.95</v>
      </c>
      <c r="I121" s="2">
        <v>0.31</v>
      </c>
      <c r="J121" s="9">
        <f>F121*G121</f>
        <v>4.8000000000000007</v>
      </c>
      <c r="K121" s="9">
        <f>J121*I121</f>
        <v>1.4880000000000002</v>
      </c>
      <c r="L121" s="2"/>
    </row>
    <row r="122" x14ac:dyDescent="0.15" ht="42" customHeight="1">
      <c r="A122" s="25"/>
      <c r="B122" s="32"/>
      <c r="C122" s="25" t="inlineStr">
        <is>
          <t xml:space="preserve">Weigh Feeder</t>
        </is>
      </c>
      <c r="D122" s="25"/>
      <c r="E122" s="25"/>
      <c r="F122" s="25"/>
      <c r="G122" s="25"/>
      <c r="H122" s="25"/>
      <c r="I122" s="25"/>
      <c r="J122" s="33"/>
      <c r="K122" s="33"/>
      <c r="L122" s="25"/>
    </row>
    <row r="123" x14ac:dyDescent="0.15">
      <c r="A123" s="2"/>
      <c r="B123" s="5"/>
      <c r="C123" s="2"/>
      <c r="D123" s="2"/>
      <c r="E123" s="2"/>
      <c r="F123" s="2"/>
      <c r="G123" s="2"/>
      <c r="H123" s="2"/>
      <c r="I123" s="2"/>
      <c r="J123" s="9"/>
      <c r="K123" s="9"/>
      <c r="L123" s="2"/>
    </row>
    <row r="124" x14ac:dyDescent="0.15" ht="24" customHeight="1">
      <c r="A124" s="25"/>
      <c r="B124" s="32"/>
      <c r="C124" s="25"/>
      <c r="D124" s="25"/>
      <c r="E124" s="25"/>
      <c r="F124" s="25"/>
      <c r="G124" s="25"/>
      <c r="H124" s="25"/>
      <c r="I124" s="25"/>
      <c r="J124" s="33"/>
      <c r="K124" s="33"/>
      <c r="L124" s="25"/>
    </row>
    <row r="125" ht="31.15" customHeight="1" x14ac:dyDescent="0.15">
      <c r="A125" s="17" t="s">
        <v>113</v>
      </c>
      <c r="B125" s="17"/>
      <c r="C125" s="17"/>
      <c r="D125" s="2"/>
      <c r="E125" s="2"/>
      <c r="F125" s="2"/>
      <c r="G125" s="2"/>
      <c r="H125" s="2"/>
      <c r="I125" s="2"/>
      <c r="J125" s="9">
        <f>SUM(J7:J123)</f>
        <v>1371.7749999999999</v>
      </c>
      <c r="K125" s="9"/>
      <c r="L125" s="2"/>
    </row>
    <row r="126" ht="42" customHeight="1" x14ac:dyDescent="0.15">
      <c r="A126" s="40" t="inlineStr">
        <is>
          <t xml:space="preserve">Total Calculated Active Power (∑Pjs)</t>
        </is>
      </c>
      <c r="B126" s="40"/>
      <c r="C126" s="40"/>
      <c r="D126" s="25"/>
      <c r="E126" s="25"/>
      <c r="F126" s="25"/>
      <c r="G126" s="25"/>
      <c r="H126" s="25"/>
      <c r="I126" s="25"/>
      <c r="J126" s="33"/>
      <c r="K126" s="33"/>
      <c r="L126" s="25"/>
    </row>
    <row r="127" ht="31.15" customHeight="1" x14ac:dyDescent="0.15">
      <c r="A127" s="17" t="s">
        <v>114</v>
      </c>
      <c r="B127" s="17"/>
      <c r="C127" s="17"/>
      <c r="D127" s="2"/>
      <c r="E127" s="2"/>
      <c r="F127" s="2"/>
      <c r="G127" s="2"/>
      <c r="H127" s="2"/>
      <c r="I127" s="2"/>
      <c r="J127" s="9"/>
      <c r="K127" s="9">
        <f>SUM(K7:K125)</f>
        <v>679.11925000000008</v>
      </c>
      <c r="L127" s="2"/>
    </row>
    <row r="128" ht="60" customHeight="1" x14ac:dyDescent="0.15">
      <c r="A128" s="40" t="inlineStr">
        <is>
          <t xml:space="preserve">Total Calculated Reactive Power (∑Qjs)</t>
        </is>
      </c>
      <c r="B128" s="40"/>
      <c r="C128" s="40"/>
      <c r="D128" s="25"/>
      <c r="E128" s="25"/>
      <c r="F128" s="25"/>
      <c r="G128" s="25"/>
      <c r="H128" s="25"/>
      <c r="I128" s="25"/>
      <c r="J128" s="33"/>
      <c r="K128" s="33"/>
      <c r="L128" s="25"/>
    </row>
    <row r="129"/>
    <row r="130" ht="24" customHeight="1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</row>
    <row r="131" ht="15.75" x14ac:dyDescent="0.15">
      <c r="A131" s="12" t="s">
        <v>6</v>
      </c>
      <c r="B131" s="13" t="s">
        <v>115</v>
      </c>
      <c r="C131" s="13"/>
    </row>
    <row r="132" ht="168" x14ac:dyDescent="0.15" customHeight="1">
      <c r="A132" s="42" t="inlineStr">
        <is>
          <t xml:space="preserve">Installed Power (Ps)</t>
        </is>
      </c>
      <c r="B132" s="43" t="inlineStr">
        <is>
          <t xml:space="preserve">Installed Power</t>
        </is>
      </c>
      <c r="C132" s="43"/>
      <c r="D132" s="41"/>
      <c r="E132" s="41"/>
      <c r="F132" s="41"/>
      <c r="G132" s="41"/>
      <c r="H132" s="41"/>
      <c r="I132" s="41"/>
      <c r="J132" s="41"/>
      <c r="K132" s="41"/>
      <c r="L132" s="41"/>
    </row>
    <row r="133" ht="15.75" x14ac:dyDescent="0.15">
      <c r="A133" s="12" t="s">
        <v>7</v>
      </c>
      <c r="B133" s="13" t="s">
        <v>116</v>
      </c>
      <c r="C133" s="13"/>
    </row>
    <row r="134" ht="186" x14ac:dyDescent="0.15" customHeight="1">
      <c r="A134" s="42" t="inlineStr">
        <is>
          <t xml:space="preserve">Demand Factor (Kx)</t>
        </is>
      </c>
      <c r="B134" s="43" t="inlineStr">
        <is>
          <t xml:space="preserve">Demand Factor</t>
        </is>
      </c>
      <c r="C134" s="43"/>
      <c r="D134" s="41"/>
      <c r="E134" s="41"/>
      <c r="F134" s="41"/>
      <c r="G134" s="41"/>
      <c r="H134" s="41"/>
      <c r="I134" s="41"/>
      <c r="J134" s="41"/>
      <c r="K134" s="41"/>
      <c r="L134" s="41"/>
    </row>
    <row r="135" ht="30" x14ac:dyDescent="0.15">
      <c r="A135" s="12" t="s">
        <v>117</v>
      </c>
      <c r="B135" s="13" t="s">
        <v>118</v>
      </c>
      <c r="C135" s="13"/>
    </row>
    <row r="136" ht="168" x14ac:dyDescent="0.15" customHeight="1">
      <c r="A136" s="42" t="inlineStr">
        <is>
          <t xml:space="preserve">Power Factor (cosφ)</t>
        </is>
      </c>
      <c r="B136" s="43" t="inlineStr">
        <is>
          <t xml:space="preserve">Power Factor</t>
        </is>
      </c>
      <c r="C136" s="43"/>
      <c r="D136" s="41"/>
      <c r="E136" s="41"/>
      <c r="F136" s="41"/>
      <c r="G136" s="41"/>
      <c r="H136" s="41"/>
      <c r="I136" s="41"/>
      <c r="J136" s="41"/>
      <c r="K136" s="41"/>
      <c r="L136" s="41"/>
    </row>
    <row r="137" ht="30" x14ac:dyDescent="0.15">
      <c r="A137" s="12" t="s">
        <v>119</v>
      </c>
      <c r="B137" s="13" t="s">
        <v>120</v>
      </c>
      <c r="C137" s="13"/>
    </row>
    <row r="138" ht="312" x14ac:dyDescent="0.15" customHeight="1">
      <c r="A138" s="42" t="inlineStr">
        <is>
          <t xml:space="preserve">Tangent of Power Factor Angle (tanφ)</t>
        </is>
      </c>
      <c r="B138" s="43" t="inlineStr">
        <is>
          <t xml:space="preserve">Tangent of Power Factor Angle</t>
        </is>
      </c>
      <c r="C138" s="43"/>
      <c r="D138" s="41"/>
      <c r="E138" s="41"/>
      <c r="F138" s="41"/>
      <c r="G138" s="41"/>
      <c r="H138" s="41"/>
      <c r="I138" s="41"/>
      <c r="J138" s="41"/>
      <c r="K138" s="41"/>
      <c r="L138" s="41"/>
    </row>
    <row r="139" ht="15.75" x14ac:dyDescent="0.15">
      <c r="A139" s="12" t="s">
        <v>10</v>
      </c>
      <c r="B139" s="13" t="s">
        <v>121</v>
      </c>
      <c r="C139" s="13"/>
    </row>
    <row r="140" ht="240" x14ac:dyDescent="0.15" customHeight="1">
      <c r="A140" s="42" t="inlineStr">
        <is>
          <t xml:space="preserve">Calculated Active Power (Pjs)</t>
        </is>
      </c>
      <c r="B140" s="43" t="inlineStr">
        <is>
          <t xml:space="preserve">Calculated Active Power</t>
        </is>
      </c>
      <c r="C140" s="43"/>
      <c r="D140" s="41"/>
      <c r="E140" s="41"/>
      <c r="F140" s="41"/>
      <c r="G140" s="41"/>
      <c r="H140" s="41"/>
      <c r="I140" s="41"/>
      <c r="J140" s="41"/>
      <c r="K140" s="41"/>
      <c r="L140" s="41"/>
    </row>
    <row r="141" ht="15.75" x14ac:dyDescent="0.15">
      <c r="A141" s="12" t="s">
        <v>11</v>
      </c>
      <c r="B141" s="13" t="s">
        <v>122</v>
      </c>
      <c r="C141" s="13"/>
    </row>
    <row r="142" ht="258" x14ac:dyDescent="0.15" customHeight="1">
      <c r="A142" s="42" t="inlineStr">
        <is>
          <t xml:space="preserve">Calculated Reactive Power (Qjs)</t>
        </is>
      </c>
      <c r="B142" s="43" t="inlineStr">
        <is>
          <t xml:space="preserve">Calculated Reactive Power</t>
        </is>
      </c>
      <c r="C142" s="43"/>
      <c r="D142" s="41"/>
      <c r="E142" s="41"/>
      <c r="F142" s="41"/>
      <c r="G142" s="41"/>
      <c r="H142" s="41"/>
      <c r="I142" s="41"/>
      <c r="J142" s="41"/>
      <c r="K142" s="41"/>
      <c r="L142" s="41"/>
    </row>
    <row r="143" ht="30" x14ac:dyDescent="0.15">
      <c r="A143" s="11" t="s">
        <v>123</v>
      </c>
      <c r="B143" s="13" t="s">
        <v>124</v>
      </c>
      <c r="C143" s="13"/>
    </row>
    <row r="144" ht="330" x14ac:dyDescent="0.15" customHeight="1">
      <c r="A144" s="44" t="inlineStr">
        <is>
          <t xml:space="preserve">Active-Power Coincidence Factor (∑Kp)</t>
        </is>
      </c>
      <c r="B144" s="43" t="inlineStr">
        <is>
          <t xml:space="preserve">Active-Power Coincidence Factor</t>
        </is>
      </c>
      <c r="C144" s="43"/>
      <c r="D144" s="41"/>
      <c r="E144" s="41"/>
      <c r="F144" s="41"/>
      <c r="G144" s="41"/>
      <c r="H144" s="41"/>
      <c r="I144" s="41"/>
      <c r="J144" s="41"/>
      <c r="K144" s="41"/>
      <c r="L144" s="41"/>
    </row>
    <row r="145" ht="30" x14ac:dyDescent="0.15">
      <c r="A145" s="11" t="s">
        <v>125</v>
      </c>
      <c r="B145" s="13" t="s">
        <v>126</v>
      </c>
      <c r="C145" s="13"/>
    </row>
    <row r="146" ht="366" x14ac:dyDescent="0.15" customHeight="1">
      <c r="A146" s="44" t="inlineStr">
        <is>
          <t xml:space="preserve">Reactive-Power Coincidence Factor (∑Kq)</t>
        </is>
      </c>
      <c r="B146" s="43" t="inlineStr">
        <is>
          <t xml:space="preserve">Reactive-Power Coincidence Factor</t>
        </is>
      </c>
      <c r="C146" s="43"/>
      <c r="D146" s="41"/>
      <c r="E146" s="41"/>
      <c r="F146" s="41"/>
      <c r="G146" s="41"/>
      <c r="H146" s="41"/>
      <c r="I146" s="41"/>
      <c r="J146" s="41"/>
      <c r="K146" s="41"/>
      <c r="L146" s="41"/>
    </row>
    <row r="147" ht="30" x14ac:dyDescent="0.15">
      <c r="A147" s="11" t="s">
        <v>127</v>
      </c>
      <c r="B147" s="13" t="s">
        <v>128</v>
      </c>
      <c r="C147" s="13"/>
    </row>
    <row r="148" ht="294" x14ac:dyDescent="0.15" customHeight="1">
      <c r="A148" s="44" t="inlineStr">
        <is>
          <t xml:space="preserve">Total Calculated Active Power (∑Pjs)</t>
        </is>
      </c>
      <c r="B148" s="43" t="inlineStr">
        <is>
          <t xml:space="preserve">Total Calculated Active Power</t>
        </is>
      </c>
      <c r="C148" s="43"/>
      <c r="D148" s="41"/>
      <c r="E148" s="41"/>
      <c r="F148" s="41"/>
      <c r="G148" s="41"/>
      <c r="H148" s="41"/>
      <c r="I148" s="41"/>
      <c r="J148" s="41"/>
      <c r="K148" s="41"/>
      <c r="L148" s="41"/>
    </row>
    <row r="149" ht="30" x14ac:dyDescent="0.15">
      <c r="A149" s="11" t="s">
        <v>129</v>
      </c>
      <c r="B149" s="13" t="s">
        <v>130</v>
      </c>
      <c r="C149" s="13"/>
    </row>
    <row r="150" ht="312" x14ac:dyDescent="0.15" customHeight="1">
      <c r="A150" s="44" t="inlineStr">
        <is>
          <t xml:space="preserve">Total Calculated Reactive Power (∑Qjs)</t>
        </is>
      </c>
      <c r="B150" s="43" t="inlineStr">
        <is>
          <t xml:space="preserve">Total Calculated Reactive Power</t>
        </is>
      </c>
      <c r="C150" s="43"/>
      <c r="D150" s="41"/>
      <c r="E150" s="41"/>
      <c r="F150" s="41"/>
      <c r="G150" s="41"/>
      <c r="H150" s="41"/>
      <c r="I150" s="41"/>
      <c r="J150" s="41"/>
      <c r="K150" s="41"/>
      <c r="L150" s="41"/>
    </row>
    <row r="151" ht="15.75" x14ac:dyDescent="0.15">
      <c r="A151" s="12" t="s">
        <v>131</v>
      </c>
      <c r="B151" s="13" t="s">
        <v>132</v>
      </c>
      <c r="C151" s="13"/>
    </row>
    <row r="152" ht="204" x14ac:dyDescent="0.15" customHeight="1">
      <c r="A152" s="42" t="inlineStr">
        <is>
          <t xml:space="preserve">Total Apparent Power (Sjs)</t>
        </is>
      </c>
      <c r="B152" s="43" t="inlineStr">
        <is>
          <t xml:space="preserve">Total Apparent Power</t>
        </is>
      </c>
      <c r="C152" s="43"/>
      <c r="D152" s="41"/>
      <c r="E152" s="41"/>
      <c r="F152" s="41"/>
      <c r="G152" s="41"/>
      <c r="H152" s="41"/>
      <c r="I152" s="41"/>
      <c r="J152" s="41"/>
      <c r="K152" s="41"/>
      <c r="L152" s="41"/>
    </row>
  </sheetData>
  <mergeCells count="20">
    <mergeCell ref="A73:C73"/>
    <mergeCell ref="A74:C74"/>
    <mergeCell ref="A85:C85"/>
    <mergeCell ref="A86:C86"/>
    <mergeCell ref="A103:C103"/>
    <mergeCell ref="A104:C104"/>
    <mergeCell ref="A125:C125"/>
    <mergeCell ref="A126:C126"/>
    <mergeCell ref="A127:C127"/>
    <mergeCell ref="A128:C128"/>
    <mergeCell ref="A1:L1"/>
    <mergeCell ref="A2:L2"/>
    <mergeCell ref="A5:C5"/>
    <mergeCell ref="A6:C6"/>
    <mergeCell ref="A25:C25"/>
    <mergeCell ref="A26:C26"/>
    <mergeCell ref="A37:C37"/>
    <mergeCell ref="A38:C38"/>
    <mergeCell ref="A63:C63"/>
    <mergeCell ref="A64:C64"/>
  </mergeCells>
  <phoneticPr fontId="5" type="noConversion"/>
  <pageMargins left="0.75" right="0.75" top="1" bottom="1" header="0.5" footer="0.5"/>
  <pageSetup paperSize="9" orientation="portrait" r:id="rId1" fitToWidth="1" fitToHeight="0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25" x14ac:dyDescent="0.15"/>
  <sheetData/>
  <phoneticPr fontId="5" type="noConversion"/>
  <pageMargins left="0.75" right="0.75" top="1" bottom="1" header="0.5" footer="0.5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25" x14ac:dyDescent="0.15"/>
  <sheetData/>
  <phoneticPr fontId="5" type="noConversion"/>
  <pageMargins left="0.75" right="0.75" top="1" bottom="1" header="0.5" footer="0.5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2025-06-03T11:04:43Z</cp:lastPrinted>
  <dcterms:created xsi:type="dcterms:W3CDTF">2025-06-03T07:25:32Z</dcterms:created>
  <dcterms:modified xsi:type="dcterms:W3CDTF">2026-09-15T01:23:48Z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FC7751100E9B47149EF3A20C77A71D22_13</vt:lpwstr>
  </property>
  <property fmtid="{D5CDD505-2E9C-101B-9397-08002B2CF9AE}" pid="3" name="KSOProductBuildVer">
    <vt:lpwstr>2052-12.1.0.21171</vt:lpwstr>
  </property>
</Properties>
</file>