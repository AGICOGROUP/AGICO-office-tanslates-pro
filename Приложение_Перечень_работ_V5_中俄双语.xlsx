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GICO-office-tanslates-pro\"/>
    </mc:Choice>
  </mc:AlternateContent>
  <bookViews>
    <workbookView xWindow="0" yWindow="0" windowWidth="28800" windowHeight="12240" activeTab="1"/>
  </bookViews>
  <sheets>
    <sheet name="Приложение 4" sheetId="1" r:id="rId1"/>
    <sheet name="Приложение №1" sheetId="2" r:id="rId2"/>
  </sheets>
  <calcPr calcId="162913"/>
</workbook>
</file>

<file path=xl/calcChain.xml><?xml version="1.0" encoding="utf-8"?>
<calcChain xmlns="http://schemas.openxmlformats.org/spreadsheetml/2006/main">
  <c r="D713" i="2" l="1"/>
  <c r="D711" i="2"/>
  <c r="D709" i="2"/>
  <c r="J696" i="2"/>
  <c r="F696" i="2"/>
  <c r="J694" i="2"/>
  <c r="F694" i="2"/>
  <c r="J692" i="2"/>
  <c r="F692" i="2"/>
  <c r="J690" i="2"/>
  <c r="F690" i="2"/>
  <c r="J688" i="2"/>
  <c r="F688" i="2"/>
  <c r="J686" i="2"/>
  <c r="F686" i="2"/>
  <c r="J684" i="2"/>
  <c r="F684" i="2"/>
  <c r="J682" i="2"/>
  <c r="F682" i="2"/>
  <c r="J680" i="2"/>
  <c r="F680" i="2"/>
  <c r="J678" i="2"/>
  <c r="F678" i="2"/>
  <c r="J676" i="2"/>
  <c r="F676" i="2"/>
  <c r="J674" i="2"/>
  <c r="F674" i="2"/>
  <c r="J672" i="2"/>
  <c r="F672" i="2"/>
  <c r="J670" i="2"/>
  <c r="F670" i="2"/>
  <c r="J668" i="2"/>
  <c r="F668" i="2"/>
  <c r="J666" i="2"/>
  <c r="F666" i="2"/>
  <c r="J664" i="2"/>
  <c r="F664" i="2"/>
  <c r="J662" i="2"/>
  <c r="F662" i="2"/>
  <c r="J660" i="2"/>
  <c r="J658" i="2" s="1"/>
  <c r="F660" i="2"/>
  <c r="J656" i="2"/>
  <c r="F656" i="2"/>
  <c r="J654" i="2"/>
  <c r="F654" i="2"/>
  <c r="J652" i="2"/>
  <c r="F652" i="2"/>
  <c r="J650" i="2"/>
  <c r="F650" i="2"/>
  <c r="J648" i="2"/>
  <c r="F648" i="2"/>
  <c r="J646" i="2"/>
  <c r="F646" i="2"/>
  <c r="J644" i="2"/>
  <c r="F644" i="2"/>
  <c r="J642" i="2"/>
  <c r="F642" i="2"/>
  <c r="J640" i="2"/>
  <c r="F640" i="2"/>
  <c r="J638" i="2"/>
  <c r="F638" i="2"/>
  <c r="J636" i="2"/>
  <c r="F636" i="2"/>
  <c r="J634" i="2"/>
  <c r="F634" i="2"/>
  <c r="J632" i="2"/>
  <c r="F632" i="2"/>
  <c r="J630" i="2"/>
  <c r="F630" i="2"/>
  <c r="J628" i="2"/>
  <c r="F628" i="2"/>
  <c r="J626" i="2"/>
  <c r="D715" i="2" s="1"/>
  <c r="F626" i="2"/>
  <c r="J624" i="2"/>
  <c r="F624" i="2"/>
  <c r="J622" i="2"/>
  <c r="F622" i="2"/>
  <c r="J620" i="2"/>
  <c r="F620" i="2"/>
  <c r="J618" i="2"/>
  <c r="F618" i="2"/>
  <c r="J616" i="2"/>
  <c r="G616" i="2"/>
  <c r="J614" i="2"/>
  <c r="F614" i="2"/>
  <c r="J612" i="2"/>
  <c r="F612" i="2"/>
  <c r="J610" i="2"/>
  <c r="F610" i="2"/>
  <c r="J608" i="2"/>
  <c r="F608" i="2"/>
  <c r="J606" i="2"/>
  <c r="F606" i="2"/>
  <c r="J604" i="2"/>
  <c r="F604" i="2"/>
  <c r="J602" i="2"/>
  <c r="F602" i="2"/>
  <c r="J600" i="2"/>
  <c r="F600" i="2"/>
  <c r="J598" i="2"/>
  <c r="F598" i="2"/>
  <c r="J596" i="2"/>
  <c r="F596" i="2"/>
  <c r="J594" i="2"/>
  <c r="F594" i="2"/>
  <c r="J592" i="2"/>
  <c r="F592" i="2"/>
  <c r="J590" i="2"/>
  <c r="F590" i="2"/>
  <c r="J588" i="2"/>
  <c r="F588" i="2"/>
  <c r="J586" i="2"/>
  <c r="F586" i="2"/>
  <c r="J584" i="2"/>
  <c r="F584" i="2"/>
  <c r="J582" i="2"/>
  <c r="F582" i="2"/>
  <c r="J580" i="2"/>
  <c r="F580" i="2"/>
  <c r="J578" i="2"/>
  <c r="J576" i="2" s="1"/>
  <c r="F578" i="2"/>
  <c r="G576" i="2"/>
  <c r="J574" i="2"/>
  <c r="F574" i="2"/>
  <c r="J572" i="2"/>
  <c r="F572" i="2"/>
  <c r="J570" i="2"/>
  <c r="F570" i="2"/>
  <c r="J568" i="2"/>
  <c r="F568" i="2"/>
  <c r="J566" i="2"/>
  <c r="F566" i="2"/>
  <c r="J564" i="2"/>
  <c r="F564" i="2"/>
  <c r="J562" i="2"/>
  <c r="F562" i="2"/>
  <c r="J560" i="2"/>
  <c r="F560" i="2"/>
  <c r="J558" i="2"/>
  <c r="F558" i="2"/>
  <c r="J556" i="2"/>
  <c r="F556" i="2"/>
  <c r="J554" i="2"/>
  <c r="F554" i="2"/>
  <c r="J552" i="2"/>
  <c r="F552" i="2"/>
  <c r="J550" i="2"/>
  <c r="F550" i="2"/>
  <c r="J548" i="2"/>
  <c r="F548" i="2"/>
  <c r="J546" i="2"/>
  <c r="F546" i="2"/>
  <c r="J544" i="2"/>
  <c r="D707" i="2" s="1"/>
  <c r="F544" i="2"/>
  <c r="J542" i="2"/>
  <c r="F542" i="2"/>
  <c r="J540" i="2"/>
  <c r="F540" i="2"/>
  <c r="J538" i="2"/>
  <c r="J536" i="2" s="1"/>
  <c r="F538" i="2"/>
  <c r="G536" i="2"/>
  <c r="J534" i="2"/>
  <c r="F534" i="2"/>
  <c r="J532" i="2"/>
  <c r="F532" i="2"/>
  <c r="J530" i="2"/>
  <c r="F530" i="2"/>
  <c r="J528" i="2"/>
  <c r="F528" i="2"/>
  <c r="J526" i="2"/>
  <c r="F526" i="2"/>
  <c r="J524" i="2"/>
  <c r="F524" i="2"/>
  <c r="J522" i="2"/>
  <c r="F522" i="2"/>
  <c r="J520" i="2"/>
  <c r="F520" i="2"/>
  <c r="J518" i="2"/>
  <c r="F518" i="2"/>
  <c r="J516" i="2"/>
  <c r="F516" i="2"/>
  <c r="J514" i="2"/>
  <c r="F514" i="2"/>
  <c r="J512" i="2"/>
  <c r="F512" i="2"/>
  <c r="J510" i="2"/>
  <c r="F510" i="2"/>
  <c r="J508" i="2"/>
  <c r="J496" i="2" s="1"/>
  <c r="F508" i="2"/>
  <c r="J506" i="2"/>
  <c r="F506" i="2"/>
  <c r="J504" i="2"/>
  <c r="F504" i="2"/>
  <c r="J502" i="2"/>
  <c r="F502" i="2"/>
  <c r="J500" i="2"/>
  <c r="F500" i="2"/>
  <c r="J498" i="2"/>
  <c r="F498" i="2"/>
  <c r="G496" i="2"/>
  <c r="J494" i="2"/>
  <c r="F494" i="2"/>
  <c r="J492" i="2"/>
  <c r="F492" i="2"/>
  <c r="J490" i="2"/>
  <c r="F490" i="2"/>
  <c r="J488" i="2"/>
  <c r="F488" i="2"/>
  <c r="J486" i="2"/>
  <c r="F486" i="2"/>
  <c r="J484" i="2"/>
  <c r="F484" i="2"/>
  <c r="J482" i="2"/>
  <c r="F482" i="2"/>
  <c r="J480" i="2"/>
  <c r="F480" i="2"/>
  <c r="J478" i="2"/>
  <c r="F478" i="2"/>
  <c r="J476" i="2"/>
  <c r="F476" i="2"/>
  <c r="J474" i="2"/>
  <c r="F474" i="2"/>
  <c r="J472" i="2"/>
  <c r="F472" i="2"/>
  <c r="J470" i="2"/>
  <c r="F470" i="2"/>
  <c r="J468" i="2"/>
  <c r="F468" i="2"/>
  <c r="J466" i="2"/>
  <c r="F466" i="2"/>
  <c r="J464" i="2"/>
  <c r="F464" i="2"/>
  <c r="J462" i="2"/>
  <c r="F462" i="2"/>
  <c r="J460" i="2"/>
  <c r="F460" i="2"/>
  <c r="J458" i="2"/>
  <c r="D705" i="2" s="1"/>
  <c r="F458" i="2"/>
  <c r="G456" i="2"/>
  <c r="J454" i="2"/>
  <c r="F454" i="2"/>
  <c r="J452" i="2"/>
  <c r="F452" i="2"/>
  <c r="J450" i="2"/>
  <c r="F450" i="2"/>
  <c r="J448" i="2"/>
  <c r="F448" i="2"/>
  <c r="F446" i="2"/>
  <c r="F444" i="2"/>
  <c r="F442" i="2"/>
  <c r="F440" i="2"/>
  <c r="F438" i="2"/>
  <c r="F436" i="2"/>
  <c r="F434" i="2"/>
  <c r="F432" i="2"/>
  <c r="F430" i="2"/>
  <c r="F428" i="2"/>
  <c r="F426" i="2"/>
  <c r="J424" i="2"/>
  <c r="F424" i="2"/>
  <c r="F422" i="2"/>
  <c r="F420" i="2"/>
  <c r="F418" i="2"/>
  <c r="F416" i="2"/>
  <c r="F414" i="2"/>
  <c r="F412" i="2"/>
  <c r="F410" i="2"/>
  <c r="F408" i="2"/>
  <c r="F406" i="2"/>
  <c r="F404" i="2"/>
  <c r="J402" i="2"/>
  <c r="J400" i="2" s="1"/>
  <c r="F402" i="2"/>
  <c r="G400" i="2"/>
  <c r="J398" i="2"/>
  <c r="F398" i="2"/>
  <c r="J396" i="2"/>
  <c r="F396" i="2"/>
  <c r="J394" i="2"/>
  <c r="F394" i="2"/>
  <c r="J392" i="2"/>
  <c r="F392" i="2"/>
  <c r="J390" i="2"/>
  <c r="F390" i="2"/>
  <c r="J388" i="2"/>
  <c r="F388" i="2"/>
  <c r="J386" i="2"/>
  <c r="F386" i="2"/>
  <c r="J384" i="2"/>
  <c r="F384" i="2"/>
  <c r="J382" i="2"/>
  <c r="F382" i="2"/>
  <c r="J380" i="2"/>
  <c r="F380" i="2"/>
  <c r="J378" i="2"/>
  <c r="F378" i="2"/>
  <c r="J376" i="2"/>
  <c r="F376" i="2"/>
  <c r="J374" i="2"/>
  <c r="F374" i="2"/>
  <c r="J372" i="2"/>
  <c r="F372" i="2"/>
  <c r="J370" i="2"/>
  <c r="F370" i="2"/>
  <c r="J368" i="2"/>
  <c r="F368" i="2"/>
  <c r="J366" i="2"/>
  <c r="F366" i="2"/>
  <c r="J364" i="2"/>
  <c r="F364" i="2"/>
  <c r="J362" i="2"/>
  <c r="J360" i="2" s="1"/>
  <c r="F362" i="2"/>
  <c r="G360" i="2"/>
  <c r="F358" i="2"/>
  <c r="F356" i="2"/>
  <c r="F354" i="2"/>
  <c r="F352" i="2"/>
  <c r="F350" i="2"/>
  <c r="F348" i="2"/>
  <c r="F346" i="2"/>
  <c r="F344" i="2"/>
  <c r="F342" i="2"/>
  <c r="F340" i="2"/>
  <c r="F338" i="2"/>
  <c r="F336" i="2"/>
  <c r="J334" i="2"/>
  <c r="F334" i="2"/>
  <c r="F332" i="2"/>
  <c r="F330" i="2"/>
  <c r="F328" i="2"/>
  <c r="F326" i="2"/>
  <c r="F324" i="2"/>
  <c r="F322" i="2"/>
  <c r="F320" i="2"/>
  <c r="F318" i="2"/>
  <c r="F316" i="2"/>
  <c r="F314" i="2"/>
  <c r="F312" i="2"/>
  <c r="F310" i="2"/>
  <c r="J308" i="2"/>
  <c r="F308" i="2"/>
  <c r="J306" i="2"/>
  <c r="F306" i="2"/>
  <c r="J304" i="2"/>
  <c r="F304" i="2"/>
  <c r="J302" i="2"/>
  <c r="F302" i="2"/>
  <c r="J300" i="2"/>
  <c r="F300" i="2"/>
  <c r="J298" i="2"/>
  <c r="F298" i="2"/>
  <c r="J296" i="2"/>
  <c r="F296" i="2"/>
  <c r="J294" i="2"/>
  <c r="F294" i="2"/>
  <c r="J292" i="2"/>
  <c r="F292" i="2"/>
  <c r="J290" i="2"/>
  <c r="F290" i="2"/>
  <c r="J288" i="2"/>
  <c r="F288" i="2"/>
  <c r="J286" i="2"/>
  <c r="F286" i="2"/>
  <c r="J284" i="2"/>
  <c r="F284" i="2"/>
  <c r="J282" i="2"/>
  <c r="F282" i="2"/>
  <c r="J280" i="2"/>
  <c r="F280" i="2"/>
  <c r="J278" i="2"/>
  <c r="F278" i="2"/>
  <c r="J276" i="2"/>
  <c r="F276" i="2"/>
  <c r="J274" i="2"/>
  <c r="F274" i="2"/>
  <c r="J272" i="2"/>
  <c r="F272" i="2"/>
  <c r="J270" i="2"/>
  <c r="F270" i="2"/>
  <c r="J268" i="2"/>
  <c r="F268" i="2"/>
  <c r="F266" i="2"/>
  <c r="F264" i="2"/>
  <c r="F262" i="2"/>
  <c r="F260" i="2"/>
  <c r="F258" i="2"/>
  <c r="F256" i="2"/>
  <c r="J254" i="2"/>
  <c r="F254" i="2"/>
  <c r="J252" i="2"/>
  <c r="F252" i="2"/>
  <c r="J250" i="2"/>
  <c r="F250" i="2"/>
  <c r="J248" i="2"/>
  <c r="F248" i="2"/>
  <c r="J246" i="2"/>
  <c r="F246" i="2"/>
  <c r="J244" i="2"/>
  <c r="F244" i="2"/>
  <c r="J242" i="2"/>
  <c r="F242" i="2"/>
  <c r="J240" i="2"/>
  <c r="F240" i="2"/>
  <c r="J238" i="2"/>
  <c r="F238" i="2"/>
  <c r="J236" i="2"/>
  <c r="F236" i="2"/>
  <c r="J234" i="2"/>
  <c r="F234" i="2"/>
  <c r="J232" i="2"/>
  <c r="F232" i="2"/>
  <c r="J230" i="2"/>
  <c r="F230" i="2"/>
  <c r="J228" i="2"/>
  <c r="F228" i="2"/>
  <c r="J226" i="2"/>
  <c r="F226" i="2"/>
  <c r="J224" i="2"/>
  <c r="F224" i="2"/>
  <c r="J222" i="2"/>
  <c r="F222" i="2"/>
  <c r="J220" i="2"/>
  <c r="F220" i="2"/>
  <c r="J218" i="2"/>
  <c r="F218" i="2"/>
  <c r="J216" i="2"/>
  <c r="F216" i="2"/>
  <c r="J214" i="2"/>
  <c r="F214" i="2"/>
  <c r="J212" i="2"/>
  <c r="F212" i="2"/>
  <c r="J210" i="2"/>
  <c r="F210" i="2"/>
  <c r="J208" i="2"/>
  <c r="F208" i="2"/>
  <c r="J206" i="2"/>
  <c r="F206" i="2"/>
  <c r="J204" i="2"/>
  <c r="F204" i="2"/>
  <c r="J202" i="2"/>
  <c r="F202" i="2"/>
  <c r="J200" i="2"/>
  <c r="F200" i="2"/>
  <c r="J198" i="2"/>
  <c r="F198" i="2"/>
  <c r="J196" i="2"/>
  <c r="F196" i="2"/>
  <c r="J194" i="2"/>
  <c r="F194" i="2"/>
  <c r="J192" i="2"/>
  <c r="F192" i="2"/>
  <c r="J190" i="2"/>
  <c r="F190" i="2"/>
  <c r="J188" i="2"/>
  <c r="F188" i="2"/>
  <c r="J186" i="2"/>
  <c r="F186" i="2"/>
  <c r="J184" i="2"/>
  <c r="F184" i="2"/>
  <c r="J182" i="2"/>
  <c r="F182" i="2"/>
  <c r="J180" i="2"/>
  <c r="F180" i="2"/>
  <c r="J178" i="2"/>
  <c r="F178" i="2"/>
  <c r="J176" i="2"/>
  <c r="F176" i="2"/>
  <c r="J174" i="2"/>
  <c r="F174" i="2"/>
  <c r="J172" i="2"/>
  <c r="F172" i="2"/>
  <c r="J170" i="2"/>
  <c r="F170" i="2"/>
  <c r="J168" i="2"/>
  <c r="F168" i="2"/>
  <c r="J166" i="2"/>
  <c r="F166" i="2"/>
  <c r="J164" i="2"/>
  <c r="F164" i="2"/>
  <c r="J162" i="2"/>
  <c r="F162" i="2"/>
  <c r="J160" i="2"/>
  <c r="F160" i="2"/>
  <c r="J158" i="2"/>
  <c r="F158" i="2"/>
  <c r="J156" i="2"/>
  <c r="F156" i="2"/>
  <c r="J154" i="2"/>
  <c r="F154" i="2"/>
  <c r="J152" i="2"/>
  <c r="F152" i="2"/>
  <c r="J150" i="2"/>
  <c r="F150" i="2"/>
  <c r="J148" i="2"/>
  <c r="F148" i="2"/>
  <c r="J146" i="2"/>
  <c r="F146" i="2"/>
  <c r="J144" i="2"/>
  <c r="F144" i="2"/>
  <c r="J142" i="2"/>
  <c r="F142" i="2"/>
  <c r="J140" i="2"/>
  <c r="F140" i="2"/>
  <c r="J138" i="2"/>
  <c r="F138" i="2"/>
  <c r="J136" i="2"/>
  <c r="F136" i="2"/>
  <c r="J134" i="2"/>
  <c r="F134" i="2"/>
  <c r="J132" i="2"/>
  <c r="F132" i="2"/>
  <c r="J130" i="2"/>
  <c r="F130" i="2"/>
  <c r="J128" i="2"/>
  <c r="F128" i="2"/>
  <c r="J126" i="2"/>
  <c r="F126" i="2"/>
  <c r="J124" i="2"/>
  <c r="F124" i="2"/>
  <c r="J122" i="2"/>
  <c r="F122" i="2"/>
  <c r="J120" i="2"/>
  <c r="F120" i="2"/>
  <c r="J118" i="2"/>
  <c r="F118" i="2"/>
  <c r="J116" i="2"/>
  <c r="F116" i="2"/>
  <c r="J114" i="2"/>
  <c r="F114" i="2"/>
  <c r="J112" i="2"/>
  <c r="F112" i="2"/>
  <c r="J110" i="2"/>
  <c r="F110" i="2"/>
  <c r="J108" i="2"/>
  <c r="F108" i="2"/>
  <c r="J106" i="2"/>
  <c r="F106" i="2"/>
  <c r="J104" i="2"/>
  <c r="F104" i="2"/>
  <c r="J102" i="2"/>
  <c r="F102" i="2"/>
  <c r="J100" i="2"/>
  <c r="F100" i="2"/>
  <c r="J98" i="2"/>
  <c r="F98" i="2"/>
  <c r="J96" i="2"/>
  <c r="F96" i="2"/>
  <c r="J94" i="2"/>
  <c r="F94" i="2"/>
  <c r="J92" i="2"/>
  <c r="F92" i="2"/>
  <c r="J90" i="2"/>
  <c r="F90" i="2"/>
  <c r="J88" i="2"/>
  <c r="F88" i="2"/>
  <c r="J86" i="2"/>
  <c r="F86" i="2"/>
  <c r="J84" i="2"/>
  <c r="F84" i="2"/>
  <c r="J82" i="2"/>
  <c r="F82" i="2"/>
  <c r="J80" i="2"/>
  <c r="F80" i="2"/>
  <c r="J78" i="2"/>
  <c r="F78" i="2"/>
  <c r="J76" i="2"/>
  <c r="F76" i="2"/>
  <c r="J74" i="2"/>
  <c r="F74" i="2"/>
  <c r="J72" i="2"/>
  <c r="F72" i="2"/>
  <c r="J70" i="2"/>
  <c r="F70" i="2"/>
  <c r="J68" i="2"/>
  <c r="F68" i="2"/>
  <c r="J66" i="2"/>
  <c r="F66" i="2"/>
  <c r="J64" i="2"/>
  <c r="F64" i="2"/>
  <c r="J62" i="2"/>
  <c r="F62" i="2"/>
  <c r="J60" i="2"/>
  <c r="F60" i="2"/>
  <c r="J58" i="2"/>
  <c r="F58" i="2"/>
  <c r="J56" i="2"/>
  <c r="F56" i="2"/>
  <c r="J54" i="2"/>
  <c r="F54" i="2"/>
  <c r="J52" i="2"/>
  <c r="F52" i="2"/>
  <c r="J50" i="2"/>
  <c r="F50" i="2"/>
  <c r="J48" i="2"/>
  <c r="F48" i="2"/>
  <c r="J46" i="2"/>
  <c r="F46" i="2"/>
  <c r="J44" i="2"/>
  <c r="F44" i="2"/>
  <c r="J42" i="2"/>
  <c r="F42" i="2"/>
  <c r="J40" i="2"/>
  <c r="F40" i="2"/>
  <c r="J38" i="2"/>
  <c r="F38" i="2"/>
  <c r="J36" i="2"/>
  <c r="F36" i="2"/>
  <c r="J34" i="2"/>
  <c r="F34" i="2"/>
  <c r="J32" i="2"/>
  <c r="F32" i="2"/>
  <c r="J30" i="2"/>
  <c r="F30" i="2"/>
  <c r="J28" i="2"/>
  <c r="F28" i="2"/>
  <c r="J26" i="2"/>
  <c r="F26" i="2"/>
  <c r="J24" i="2"/>
  <c r="F24" i="2"/>
  <c r="J22" i="2"/>
  <c r="F22" i="2"/>
  <c r="J20" i="2"/>
  <c r="F20" i="2"/>
  <c r="J18" i="2"/>
  <c r="F18" i="2"/>
  <c r="J16" i="2"/>
  <c r="F16" i="2"/>
  <c r="J14" i="2"/>
  <c r="F14" i="2"/>
  <c r="J12" i="2"/>
  <c r="F12" i="2"/>
  <c r="J10" i="2"/>
  <c r="F10" i="2"/>
  <c r="J8" i="2"/>
  <c r="D703" i="2" s="1"/>
  <c r="D717" i="2" s="1"/>
  <c r="F8" i="2"/>
  <c r="G6" i="2"/>
  <c r="J6" i="2" l="1"/>
  <c r="J456" i="2"/>
  <c r="J698" i="2" l="1"/>
</calcChain>
</file>

<file path=xl/sharedStrings.xml><?xml version="1.0" encoding="utf-8"?>
<sst xmlns="http://schemas.openxmlformats.org/spreadsheetml/2006/main" count="2589" uniqueCount="1197">
  <si>
    <t>№</t>
  </si>
  <si>
    <t>Группа</t>
  </si>
  <si>
    <t>Ед.</t>
  </si>
  <si>
    <t>Расценка</t>
  </si>
  <si>
    <t>Что входит</t>
  </si>
  <si>
    <t>类别</t>
  </si>
  <si>
    <t>单位</t>
  </si>
  <si>
    <t>单价</t>
  </si>
  <si>
    <t>包含内容</t>
  </si>
  <si>
    <t>Технологическое оборудование</t>
  </si>
  <si>
    <t>т</t>
  </si>
  <si>
    <t>USD/т</t>
  </si>
  <si>
    <t>Мельница, сепараторы, фильтры, дымососы, дозаторы, горелки, насосы, компрессоры, элеватор, конвейеры, питатели, затворы, клапаны</t>
  </si>
  <si>
    <t>工艺设备</t>
  </si>
  <si>
    <t>吨</t>
  </si>
  <si>
    <t>美元/吨</t>
  </si>
  <si>
    <t>磨机、选粉机、收尘器、引风机、计量器、燃烧器、泵、压缩机、提升机、输送机、给料机、闸板、阀门</t>
  </si>
  <si>
    <t>Металлоконструкции</t>
  </si>
  <si>
    <t>Этажерки, площадки, лестницы, опоры, рамы, силосы, бункеры, навесы, газоходные опоры, лотки, жёлоба, переходники, защитная обшивка (оцинк. лист)</t>
  </si>
  <si>
    <t>金属结构</t>
  </si>
  <si>
    <t>支架、平台、楼梯、支柱、框架、料仓、料斗、雨棚、烟道支架、托架、溜槽、过渡件、保护外壳（镀锌板）</t>
  </si>
  <si>
    <t>Трубопроводы и газоходы</t>
  </si>
  <si>
    <t>Технологические трубопроводы, газоходы, углепроводы, воздуховоды, арматура, компенсаторы</t>
  </si>
  <si>
    <t>管道与烟道</t>
  </si>
  <si>
    <t>工艺管道、烟道、输煤管道、风管、管件、补偿器</t>
  </si>
  <si>
    <t>Термоизоляция</t>
  </si>
  <si>
    <t>м²</t>
  </si>
  <si>
    <t>USD/м³</t>
  </si>
  <si>
    <t>Минеральная вата на газоходах/дымососах/фильтрах</t>
  </si>
  <si>
    <t>保温隔热</t>
  </si>
  <si>
    <t>m²</t>
  </si>
  <si>
    <t>美元/m³</t>
  </si>
  <si>
    <t>烟道/引风机/收尘器上的矿棉</t>
  </si>
  <si>
    <t>Демонтаж</t>
  </si>
  <si>
    <t>USD/т (пониж.)</t>
  </si>
  <si>
    <t>Демонтаж существующих горелок, площадок, фахверка</t>
  </si>
  <si>
    <t>拆除</t>
  </si>
  <si>
    <t>美元/吨（降序）</t>
  </si>
  <si>
    <t>拆除现有燃烧器、平台、填充墙框架</t>
  </si>
  <si>
    <t>Электромонтаж и КИПиА</t>
  </si>
  <si>
    <t>к-т</t>
  </si>
  <si>
    <t>фикс. сумма</t>
  </si>
  <si>
    <t>Шкафы, кабель, лотки, датчики, газоанализаторы, шиберы (шт), взрывозащита, заземление</t>
  </si>
  <si>
    <t>电气安装与自控仪表</t>
  </si>
  <si>
    <t>套</t>
  </si>
  <si>
    <t>固定金额</t>
  </si>
  <si>
    <t>柜体、电缆、桥架、传感器、气体分析仪、闸板（个）、防爆、接地</t>
  </si>
  <si>
    <t>Инертизация и пожаротушение</t>
  </si>
  <si>
    <t>—</t>
  </si>
  <si>
    <t>Опоры, баллоны, короба, трубопроводы азота/инертизации</t>
  </si>
  <si>
    <t>惰性化与消防灭火</t>
  </si>
  <si>
    <t>支架、气瓶、箱体、氮气/惰性化管道</t>
  </si>
  <si>
    <t>Ограждающие конструкции</t>
  </si>
  <si>
    <t>Сэндвич-панели, профнастил (стены, кровля)</t>
  </si>
  <si>
    <t>围护结构</t>
  </si>
  <si>
    <t>夹芯板、压型板（墙体、屋面）</t>
  </si>
  <si>
    <t>Железобетонные конструкции</t>
  </si>
  <si>
    <t>м³</t>
  </si>
  <si>
    <t>Плиты, отмостка, цоколь, топпинг, двери, окна, ворота</t>
  </si>
  <si>
    <t>钢筋混凝土结构</t>
  </si>
  <si>
    <t>m³</t>
  </si>
  <si>
    <t>楼板、散水、勒脚、面层、门、窗、大门</t>
  </si>
  <si>
    <t>Код оборудования</t>
  </si>
  <si>
    <t>Наименование работы</t>
  </si>
  <si>
    <t>Зона ответственности</t>
  </si>
  <si>
    <t>Категория</t>
  </si>
  <si>
    <t>Объем</t>
  </si>
  <si>
    <t>Проект</t>
  </si>
  <si>
    <t>Цена за ед., Дол. США</t>
  </si>
  <si>
    <t>Сумма</t>
  </si>
  <si>
    <t>设备代码</t>
  </si>
  <si>
    <t>工作名称</t>
  </si>
  <si>
    <t>责任区域</t>
  </si>
  <si>
    <t>工程量</t>
  </si>
  <si>
    <t>项目</t>
  </si>
  <si>
    <t>单价（美元）</t>
  </si>
  <si>
    <t>金额</t>
  </si>
  <si>
    <t>Ед. изм.</t>
  </si>
  <si>
    <t>Кол-во</t>
  </si>
  <si>
    <t>计量单位</t>
  </si>
  <si>
    <t>数量</t>
  </si>
  <si>
    <t>1.</t>
  </si>
  <si>
    <t>Монтаж технологического оборудования поставки Agico Cement</t>
  </si>
  <si>
    <t>安装AGICO供货的工艺设备</t>
  </si>
  <si>
    <t>1.1</t>
  </si>
  <si>
    <t>L01-IP50.IP10</t>
  </si>
  <si>
    <t xml:space="preserve">Блок инертизации 1 (угольная мельница)                                                      </t>
  </si>
  <si>
    <t>Исполнитель</t>
  </si>
  <si>
    <t>惰性化装置1（煤磨）</t>
  </si>
  <si>
    <t>施工方</t>
  </si>
  <si>
    <t>1.2</t>
  </si>
  <si>
    <t>L01-IP50.IP20</t>
  </si>
  <si>
    <t>Блок инертизации2 (200 m³ силос)</t>
  </si>
  <si>
    <t>惰性化装置2（200 m³料仓）</t>
  </si>
  <si>
    <t>1.3</t>
  </si>
  <si>
    <t>L01-IP50.IP30</t>
  </si>
  <si>
    <t>Блок инертизации 3    (силос 100 м3)</t>
  </si>
  <si>
    <t>惰性化装置3（100 m³料仓）</t>
  </si>
  <si>
    <t>1.4</t>
  </si>
  <si>
    <t>L01-CP70</t>
  </si>
  <si>
    <t xml:space="preserve">Компрессор инструментального воздуха угольного передела  </t>
  </si>
  <si>
    <t>煤粉工段仪表空气压缩机</t>
  </si>
  <si>
    <t>1.5</t>
  </si>
  <si>
    <t>L11-BF07</t>
  </si>
  <si>
    <t xml:space="preserve">Рукавный фильтр приемного устройства   64-5 тип                 </t>
  </si>
  <si>
    <t>受料装置袋收尘器 64-5型</t>
  </si>
  <si>
    <t>1.6</t>
  </si>
  <si>
    <t>L11-BF07.FA10</t>
  </si>
  <si>
    <t xml:space="preserve">Вентилятор Рукавного фильтра приемного устройства        </t>
  </si>
  <si>
    <t>受料装置袋收尘器风机</t>
  </si>
  <si>
    <t>1.7</t>
  </si>
  <si>
    <t>L11-BF07.RF10</t>
  </si>
  <si>
    <t xml:space="preserve">Ячейковый питатель Рукавного фильтра приемного устройства                                              </t>
  </si>
  <si>
    <t>受料装置袋收尘器分格轮给料机</t>
  </si>
  <si>
    <t>1.8</t>
  </si>
  <si>
    <t>L11-CP11</t>
  </si>
  <si>
    <t xml:space="preserve">Компрессор инструментального воздуха                приемного устройства                                         </t>
  </si>
  <si>
    <t>受料装置仪表空气压缩机</t>
  </si>
  <si>
    <t>1.9</t>
  </si>
  <si>
    <t>L11-BM15</t>
  </si>
  <si>
    <t xml:space="preserve">Устройство разгрузочное в базисный склад (передвижная тележка)                                      </t>
  </si>
  <si>
    <t>基础库卸料装置（移动台车）</t>
  </si>
  <si>
    <t>1.10</t>
  </si>
  <si>
    <t>L41-DU21.DA10</t>
  </si>
  <si>
    <t xml:space="preserve">Жалюзийная заслонка регулировки горячего воздуха от холодильника ПОК №1                                </t>
  </si>
  <si>
    <t>来自冷却机POK№1的热空气调节百叶阀</t>
  </si>
  <si>
    <t>1.11</t>
  </si>
  <si>
    <t>L41-DU22.DA10</t>
  </si>
  <si>
    <t xml:space="preserve">Жалюзийная заслонка регулировки горячего воздуха от холодильника ПОК №1                                    </t>
  </si>
  <si>
    <t>1.12</t>
  </si>
  <si>
    <t>L41-DA23</t>
  </si>
  <si>
    <t>Направляющий аппарат  бустер-вентилятора</t>
  </si>
  <si>
    <t>增压风机导流装置</t>
  </si>
  <si>
    <t>1.13</t>
  </si>
  <si>
    <t>L41-FN24</t>
  </si>
  <si>
    <t xml:space="preserve">Бустер-вентилятор                                                                                                  </t>
  </si>
  <si>
    <t>增压风机</t>
  </si>
  <si>
    <t>1.14</t>
  </si>
  <si>
    <t>L41-FN24.MT10</t>
  </si>
  <si>
    <t xml:space="preserve">Электродвигатель                                                      </t>
  </si>
  <si>
    <t>电动机</t>
  </si>
  <si>
    <t>1.15</t>
  </si>
  <si>
    <t>L41-CN30</t>
  </si>
  <si>
    <t xml:space="preserve">Циклон ПОК 1 
(Заказчику предоставляется  полная техническая документация для  изготовления, КМД. В формате  dwg.)                                                          </t>
  </si>
  <si>
    <t>POK1旋风筒
（向业主提供完整的技术制造文件，KMD。格式为dwg。）</t>
  </si>
  <si>
    <t>1.16</t>
  </si>
  <si>
    <t>L41-CN30.RF10</t>
  </si>
  <si>
    <t xml:space="preserve">Питатель ячейковый1 с двигателем                   </t>
  </si>
  <si>
    <t>分格轮给料机1（含电机）</t>
  </si>
  <si>
    <t>1.17</t>
  </si>
  <si>
    <t>L41-CN30.MR10</t>
  </si>
  <si>
    <t xml:space="preserve">Мотор-редуктор Питателя ячейковый            </t>
  </si>
  <si>
    <t>分格轮给料机减速电机</t>
  </si>
  <si>
    <t>1.18</t>
  </si>
  <si>
    <t>L41-CN30.SD10</t>
  </si>
  <si>
    <t xml:space="preserve">Задвижка шиберно-ножевая ДУ1300  на входе циклона №1                                                  </t>
  </si>
  <si>
    <t>旋风筒№1入口DN1300刀型插板阀</t>
  </si>
  <si>
    <t>1.19</t>
  </si>
  <si>
    <t>L41-DA31</t>
  </si>
  <si>
    <t xml:space="preserve">Жалюзийная заслонка газохода от кальцинатора печи №1                                                                </t>
  </si>
  <si>
    <t>窑№1分解炉烟道百叶阀</t>
  </si>
  <si>
    <t>1.20</t>
  </si>
  <si>
    <t>L41-DA31.SV10</t>
  </si>
  <si>
    <t xml:space="preserve">сервопривод  Шибер газохода от кальцинатора  печи №1                                                               </t>
  </si>
  <si>
    <t>窑№1分解炉烟道闸板伺服执行器</t>
  </si>
  <si>
    <t>1.21</t>
  </si>
  <si>
    <t>L41-CN33</t>
  </si>
  <si>
    <t xml:space="preserve">Циклон ПОК 1  (Заказчику предоставляется  полная техническая документация для  изготовления, КМД. В формате  dwg.)                                                                          </t>
  </si>
  <si>
    <t>POK1旋风筒（向业主提供完整的技术制造文件，KMD。格式为dwg。）</t>
  </si>
  <si>
    <t>1.22</t>
  </si>
  <si>
    <t>L41-CN33.RF10</t>
  </si>
  <si>
    <t xml:space="preserve">Питатель ячейковый 2 с двигателем                    </t>
  </si>
  <si>
    <t>分格轮给料机2（含电机）</t>
  </si>
  <si>
    <t>1.23</t>
  </si>
  <si>
    <t>L41-CN33.MR10</t>
  </si>
  <si>
    <t xml:space="preserve">Мотор-редуктор Питателя ячейковый2              </t>
  </si>
  <si>
    <t>分格轮给料机2减速电机</t>
  </si>
  <si>
    <t>1.24</t>
  </si>
  <si>
    <t>L41-CN33.SD10</t>
  </si>
  <si>
    <t xml:space="preserve">Задвижка шиберно-ножевая ДУ1300 на входе циклона №2                                              </t>
  </si>
  <si>
    <t>旋风筒№2入口DN1300刀型插板阀</t>
  </si>
  <si>
    <t>1.25</t>
  </si>
  <si>
    <t>L41-DA34</t>
  </si>
  <si>
    <t xml:space="preserve">Жалюзийная заслонка газохода от кальцинатора печи №2                                                        </t>
  </si>
  <si>
    <t>窑№2分解炉烟道百叶阀</t>
  </si>
  <si>
    <t>1.26</t>
  </si>
  <si>
    <t>L41-DA34.SV10</t>
  </si>
  <si>
    <t xml:space="preserve">сервопривод  Шибер газохода от кальцинатора  печи №2                                                   </t>
  </si>
  <si>
    <t>窑№2分解炉烟道闸板伺服执行器</t>
  </si>
  <si>
    <t>1.27</t>
  </si>
  <si>
    <t>L41-FN37</t>
  </si>
  <si>
    <t xml:space="preserve">Бустер-вентилятор                            </t>
  </si>
  <si>
    <t>1.28</t>
  </si>
  <si>
    <t>L41-FN37.MT10</t>
  </si>
  <si>
    <t xml:space="preserve"> Электродвигатель Бастер-вентилятора          </t>
  </si>
  <si>
    <t>增压风机电动机</t>
  </si>
  <si>
    <t>1.29</t>
  </si>
  <si>
    <t>L41-DA39</t>
  </si>
  <si>
    <t xml:space="preserve">Жалюзийная заслонка подачи горячих газов на шаровую мельницу со сервоприводом                            </t>
  </si>
  <si>
    <t>向球磨机供送热气体百叶阀（含伺服执行器）</t>
  </si>
  <si>
    <t>1.30</t>
  </si>
  <si>
    <t>L41-DA39.SV10</t>
  </si>
  <si>
    <t xml:space="preserve">Сервопривод жалюзийной заслонка подачи горячих газов на шаровую мельницу  со сервоприводом                                </t>
  </si>
  <si>
    <t>向球磨机供送热气体百叶阀伺服执行器</t>
  </si>
  <si>
    <t>1.31</t>
  </si>
  <si>
    <t>L41-DA40</t>
  </si>
  <si>
    <t xml:space="preserve">Жалюзийная заслонка подачи свежего воздуха на шаровую мельницу со сервоприводом                              </t>
  </si>
  <si>
    <t>向球磨机供送新鲜空气百叶阀（含伺服执行器）</t>
  </si>
  <si>
    <t>1.32</t>
  </si>
  <si>
    <t>L41-DA40.SV10</t>
  </si>
  <si>
    <t xml:space="preserve">Жалюзийная заслонкаподачи свежего воздуха на шаровую мельницу   со сервоприводом                             </t>
  </si>
  <si>
    <t>1.33</t>
  </si>
  <si>
    <t>L51-BC43</t>
  </si>
  <si>
    <t xml:space="preserve">Питатель ленточный бункера СБ №2                                  </t>
  </si>
  <si>
    <t>SB№2料仓皮带给料机</t>
  </si>
  <si>
    <t>1.34</t>
  </si>
  <si>
    <t>L51-BC43.MT10</t>
  </si>
  <si>
    <t>Эл. двигатель ленточного питателя 2 с ПЧТ</t>
  </si>
  <si>
    <t>皮带给料机2电机（含变频器）</t>
  </si>
  <si>
    <t>1.35</t>
  </si>
  <si>
    <t>L51-BC44</t>
  </si>
  <si>
    <t xml:space="preserve">Ленточный конвейер подачи угля с  бункера 2  ленточного конвейера                                                   </t>
  </si>
  <si>
    <t>从2号料斗至皮带输送机的输煤皮带输送机</t>
  </si>
  <si>
    <t>1.36</t>
  </si>
  <si>
    <t>L51-BC44.MT10</t>
  </si>
  <si>
    <t xml:space="preserve">Эл. двигатель ленточного конвейера                        </t>
  </si>
  <si>
    <t>皮带输送机电机</t>
  </si>
  <si>
    <t>1.37</t>
  </si>
  <si>
    <t>L51-DG47</t>
  </si>
  <si>
    <t xml:space="preserve">Переключатель потока (уголь / известняк) со сервопривод Переключателя потока (уголь / известняк)                                                                    </t>
  </si>
  <si>
    <t>（煤/石灰石）物料换向器（含伺服执行器）</t>
  </si>
  <si>
    <t>1.38</t>
  </si>
  <si>
    <t>L51-DG47.SV10</t>
  </si>
  <si>
    <t xml:space="preserve"> сервопривод Переключателя потока (уголь / известняк)                                                               </t>
  </si>
  <si>
    <t>（煤/石灰石）换向器伺服执行器</t>
  </si>
  <si>
    <t>1.39</t>
  </si>
  <si>
    <t>L51-DG47.GT10</t>
  </si>
  <si>
    <t xml:space="preserve">Затвор грузовой 600*600                                    </t>
  </si>
  <si>
    <t>600×600卸料闸板</t>
  </si>
  <si>
    <t>1.40</t>
  </si>
  <si>
    <t>L51-BE49</t>
  </si>
  <si>
    <t xml:space="preserve">Элеватор выгрузки СБ с двигателем                   </t>
  </si>
  <si>
    <t>SB卸料提升机（含电机）</t>
  </si>
  <si>
    <t>1.41</t>
  </si>
  <si>
    <t>L51-BE49.MT10</t>
  </si>
  <si>
    <t xml:space="preserve">Эл. двигатель Цепной ковшовый элеватора </t>
  </si>
  <si>
    <t>链斗提升机电机</t>
  </si>
  <si>
    <t>1.42</t>
  </si>
  <si>
    <t>L51-RC4A.</t>
  </si>
  <si>
    <t xml:space="preserve"> двухвалковая дробилка</t>
  </si>
  <si>
    <t>双辊破碎机</t>
  </si>
  <si>
    <t>1.43</t>
  </si>
  <si>
    <t>L51-RC4A.MT10
L51-RC4A.MT20</t>
  </si>
  <si>
    <t xml:space="preserve"> двигатель двухвалковой дробилки </t>
  </si>
  <si>
    <t>双辊破碎机电机</t>
  </si>
  <si>
    <t>1.44</t>
  </si>
  <si>
    <t>L51-BC48</t>
  </si>
  <si>
    <t xml:space="preserve">Конвейер ленточный сухого угля №1                                 </t>
  </si>
  <si>
    <t>干煤№1皮带输送机</t>
  </si>
  <si>
    <t>1.45</t>
  </si>
  <si>
    <t>L51-BC48.MT10</t>
  </si>
  <si>
    <t xml:space="preserve">Эл. двигатель  конвейер ленточный сухого угля№1            </t>
  </si>
  <si>
    <t>干煤№1皮带输送机电机</t>
  </si>
  <si>
    <t>1.46</t>
  </si>
  <si>
    <t>L51-BC48.MS10</t>
  </si>
  <si>
    <t xml:space="preserve">Уловитель инородных тел Уловитель инородных тел   (с автоматическим магнитным сепаратором)                                                                      </t>
  </si>
  <si>
    <t>异物捕集器（含自动磁力分离器）</t>
  </si>
  <si>
    <t>1.47</t>
  </si>
  <si>
    <t>L91-3S50.YX11
L91-3S50.YX12
L91-3S50.YX13
L91-3S50.YX14</t>
  </si>
  <si>
    <t xml:space="preserve">Тензодатчики силоса сухого угля RTN 33t C3 </t>
  </si>
  <si>
    <t>干煤料仓称重传感器 RTN 33t C3</t>
  </si>
  <si>
    <t>1.48</t>
  </si>
  <si>
    <t>L91-3S50.EX10</t>
  </si>
  <si>
    <t xml:space="preserve">Клапан сброса давления Ø356мм силоса сухого угля                                                                        </t>
  </si>
  <si>
    <t>干煤料仓Ø356mm泄压阀</t>
  </si>
  <si>
    <t>1.49</t>
  </si>
  <si>
    <t>L51-BF51</t>
  </si>
  <si>
    <t xml:space="preserve">Фильтр рукавный Бункера сухого угля                   </t>
  </si>
  <si>
    <t>干煤料斗袋收尘器</t>
  </si>
  <si>
    <t>1.50</t>
  </si>
  <si>
    <t>L51-BF51.FA10</t>
  </si>
  <si>
    <t xml:space="preserve">Вентилятор рукавного фильтра                              </t>
  </si>
  <si>
    <t>袋收尘器风机</t>
  </si>
  <si>
    <t>1.51</t>
  </si>
  <si>
    <t>L51-BF51.MT10</t>
  </si>
  <si>
    <t>Эл. Двигатель Вентилятора рукавного фильтра</t>
  </si>
  <si>
    <t>袋收尘器风机电动机</t>
  </si>
  <si>
    <t>1.52</t>
  </si>
  <si>
    <t>L51-BF51.RF10</t>
  </si>
  <si>
    <t xml:space="preserve">Питатель ячейковый РФ с моторедуктором          </t>
  </si>
  <si>
    <t>袋收尘器分格轮给料机（含减速电机）</t>
  </si>
  <si>
    <t>1.53</t>
  </si>
  <si>
    <t>L51-BF51.MR10</t>
  </si>
  <si>
    <t xml:space="preserve"> моторедуктор Питатель ячейковый РФ                  </t>
  </si>
  <si>
    <t>袋收尘器分格轮给料机减速电机</t>
  </si>
  <si>
    <t>1.54</t>
  </si>
  <si>
    <t>L51-CP60.</t>
  </si>
  <si>
    <t xml:space="preserve">Компрессор инструментального воздуха рукавного фильтра Сушильного барабана                            </t>
  </si>
  <si>
    <t>烘干机袋收尘器仪表空气压缩机</t>
  </si>
  <si>
    <t>1.55</t>
  </si>
  <si>
    <t>L51-BF55.RT20</t>
  </si>
  <si>
    <t xml:space="preserve">Шиберная заслонкана выходе РФ СБ с пневмоприводом                                                                        </t>
  </si>
  <si>
    <t>SB袋收尘器出口气动闸板阀</t>
  </si>
  <si>
    <t>1.56</t>
  </si>
  <si>
    <t>L61-WF63</t>
  </si>
  <si>
    <t xml:space="preserve">Дозатор угля в мельницу (L=6м)                          </t>
  </si>
  <si>
    <t>入磨煤计量器（L=6m）</t>
  </si>
  <si>
    <t>1.57</t>
  </si>
  <si>
    <t>L61-WF63.NG10</t>
  </si>
  <si>
    <t xml:space="preserve">Затвор штырьевой перед дозатором                           </t>
  </si>
  <si>
    <t>计量器前插销闸板</t>
  </si>
  <si>
    <t>1.58</t>
  </si>
  <si>
    <t>L61-BM65</t>
  </si>
  <si>
    <t xml:space="preserve"> Mельница новая (включая брони, лобовые плиты и бронеболты. щары)                                                      </t>
  </si>
  <si>
    <t>新磨机（含衬板、端面衬板、螺栓、研磨体）</t>
  </si>
  <si>
    <t>1.59</t>
  </si>
  <si>
    <t>L61-BM65.LN10</t>
  </si>
  <si>
    <t xml:space="preserve">Внутренняя остнастка шаровой мельницы                    </t>
  </si>
  <si>
    <t>球磨机内部装置</t>
  </si>
  <si>
    <t>1.60</t>
  </si>
  <si>
    <t>L61-BM65.GM10</t>
  </si>
  <si>
    <t xml:space="preserve">Шаровая загрузка мельницы                                         </t>
  </si>
  <si>
    <t>磨机研磨体装载量</t>
  </si>
  <si>
    <t>1.61</t>
  </si>
  <si>
    <t>L61-LQ66</t>
  </si>
  <si>
    <t xml:space="preserve">Система смазки цапф шарвой мельницы                     
</t>
  </si>
  <si>
    <t>球磨机中空轴润滑系统</t>
  </si>
  <si>
    <t>1.62</t>
  </si>
  <si>
    <t>L61-LQ68</t>
  </si>
  <si>
    <t xml:space="preserve">Система смазки редуктора главного привода шаровой мельницы                                                                   
</t>
  </si>
  <si>
    <t>球磨机主传动减速机润滑系统</t>
  </si>
  <si>
    <t>1.63</t>
  </si>
  <si>
    <t>L61-DR67</t>
  </si>
  <si>
    <t>Привод шаровой мельницы (Главный + вспомогательный)</t>
  </si>
  <si>
    <t>球磨机传动（主传动+辅助传动）</t>
  </si>
  <si>
    <t>1.64</t>
  </si>
  <si>
    <t>L61-BM65.EX10</t>
  </si>
  <si>
    <t xml:space="preserve">Взрывной клапан шаровой мельницы                   </t>
  </si>
  <si>
    <t>球磨机防爆阀</t>
  </si>
  <si>
    <t>1.65</t>
  </si>
  <si>
    <t>L61-SR70</t>
  </si>
  <si>
    <t xml:space="preserve">Сепаратор с эл. Двигателем                                        </t>
  </si>
  <si>
    <t>选粉机（含电动机）</t>
  </si>
  <si>
    <t>1.66</t>
  </si>
  <si>
    <t>L61-SR70.MT10</t>
  </si>
  <si>
    <t xml:space="preserve">эл. Двигатель Сепаратор                                          </t>
  </si>
  <si>
    <t>选粉机电动机</t>
  </si>
  <si>
    <t>1.67</t>
  </si>
  <si>
    <t>L61-RF71</t>
  </si>
  <si>
    <t xml:space="preserve">Питатель ячейковый с моторедуктором            </t>
  </si>
  <si>
    <t>分格轮给料机（含减速电机）</t>
  </si>
  <si>
    <t>1.68</t>
  </si>
  <si>
    <t>L61-RF71.MR10</t>
  </si>
  <si>
    <t xml:space="preserve">моторедуктор Питателя ячейковый                 </t>
  </si>
  <si>
    <t>1.69</t>
  </si>
  <si>
    <t>L61-WB72</t>
  </si>
  <si>
    <t xml:space="preserve">Расходомер возврата крупки                                       </t>
  </si>
  <si>
    <t>粗粉返回流量计</t>
  </si>
  <si>
    <t>1.70</t>
  </si>
  <si>
    <t>L61-SC73</t>
  </si>
  <si>
    <t xml:space="preserve">Шнек возврата крупки  c моторедуктором                 </t>
  </si>
  <si>
    <t>粗粉返回螺旋输送机（含减速电机）</t>
  </si>
  <si>
    <t>1.71</t>
  </si>
  <si>
    <t>L61-SC73.MR10</t>
  </si>
  <si>
    <t xml:space="preserve"> моторедуктор  Шнек возврата крупки                       </t>
  </si>
  <si>
    <t>粗粉返回螺旋输送机减速电机</t>
  </si>
  <si>
    <t>1.72</t>
  </si>
  <si>
    <t>L61-RF64</t>
  </si>
  <si>
    <t xml:space="preserve">Ячеиковый питатель                              </t>
  </si>
  <si>
    <t>分格轮给料机</t>
  </si>
  <si>
    <t>1.73</t>
  </si>
  <si>
    <t>L61-CP61</t>
  </si>
  <si>
    <t xml:space="preserve">Компрессор инструментального воздуха фильтра процесса                                                                  </t>
  </si>
  <si>
    <t>工艺收尘器仪表空气压缩机</t>
  </si>
  <si>
    <t>1.74</t>
  </si>
  <si>
    <t>L61-2K7А</t>
  </si>
  <si>
    <t xml:space="preserve">Газоанализатор O2, СО, Помол угля                            </t>
  </si>
  <si>
    <t>L61-2K7A</t>
  </si>
  <si>
    <t>煤粉制备O2、CO气体分析仪</t>
  </si>
  <si>
    <t>1.75</t>
  </si>
  <si>
    <t>L61-BF75.RT20</t>
  </si>
  <si>
    <t xml:space="preserve">Ножевые шибера на выходе Рукавного фильтра BF75 процесса                                                                             </t>
  </si>
  <si>
    <t>工艺袋收尘器BF75出口刀型闸板</t>
  </si>
  <si>
    <t>1.76</t>
  </si>
  <si>
    <t>L61-SC76</t>
  </si>
  <si>
    <t xml:space="preserve">Шнек подачи угля на систему дозирования L=4м                                                                               </t>
  </si>
  <si>
    <t>向计量系统供煤螺旋输送机 L=4m</t>
  </si>
  <si>
    <t>1.77</t>
  </si>
  <si>
    <t>L61-DU79.DA10</t>
  </si>
  <si>
    <t xml:space="preserve">Жалюзийный клапан выбросов газов на дымовой              трубе                                                                                      </t>
  </si>
  <si>
    <t>烟囱废气排放百叶阀</t>
  </si>
  <si>
    <t>1.78</t>
  </si>
  <si>
    <t>L61-DU80.DA20</t>
  </si>
  <si>
    <t xml:space="preserve">Жалюзийный клапан подачи газов на рециркуляцию через сепаратор со сервоприводом                                                 </t>
  </si>
  <si>
    <t>经选粉机循环气体百叶阀（含伺服执行器）</t>
  </si>
  <si>
    <t>1.79</t>
  </si>
  <si>
    <t>L61-DU80.SV20</t>
  </si>
  <si>
    <t xml:space="preserve">Сервопривод Жалюзийного клапана подачи газов на рециркуляцию через сепаратор с сервоприводом                                                          </t>
  </si>
  <si>
    <t>经选粉机循环气体百叶阀伺服执行器</t>
  </si>
  <si>
    <t>1.80</t>
  </si>
  <si>
    <t>L61-DU80.DA10</t>
  </si>
  <si>
    <t xml:space="preserve">Жалюзийный клапан подачи газов на рециркуляцию через мельницу                                                         </t>
  </si>
  <si>
    <t>经磨机循环气体百叶阀</t>
  </si>
  <si>
    <t>1.81</t>
  </si>
  <si>
    <t>L61-DU80.SV10</t>
  </si>
  <si>
    <t xml:space="preserve">Сервопривод Жалюзийного клапан подачи газов на рециркуляцию через мельницу   со сервоприводом                                                      </t>
  </si>
  <si>
    <t>经磨机循环气体百叶阀伺服执行器</t>
  </si>
  <si>
    <t>1.82</t>
  </si>
  <si>
    <t>L91-CP83</t>
  </si>
  <si>
    <t xml:space="preserve">Компрессор транспортировки молотого угля на ПОК                                                                                                  </t>
  </si>
  <si>
    <t>向POK输送煤粉压缩机</t>
  </si>
  <si>
    <t>1.83</t>
  </si>
  <si>
    <t>L91-CP83.MT10</t>
  </si>
  <si>
    <t xml:space="preserve">электродвигатель  Компрессора транспортировки молотого угля на ПОК    </t>
  </si>
  <si>
    <t>向POK输送煤粉压缩机电动机</t>
  </si>
  <si>
    <t>1.84</t>
  </si>
  <si>
    <t>L91-PP84</t>
  </si>
  <si>
    <t xml:space="preserve">Насос пневмокамерный насос молотого угля              </t>
  </si>
  <si>
    <t>煤粉仓式泵</t>
  </si>
  <si>
    <t>1.85</t>
  </si>
  <si>
    <t>L91-DU85</t>
  </si>
  <si>
    <t xml:space="preserve">Углепровод транспортировки молотого угля в силос 200m³                                                            </t>
  </si>
  <si>
    <t>煤粉输送至200m³料仓输煤管道</t>
  </si>
  <si>
    <t>1.86</t>
  </si>
  <si>
    <t>L91-3S86.EX10</t>
  </si>
  <si>
    <t xml:space="preserve">Клапан взрывной силоса угля 200м3                       </t>
  </si>
  <si>
    <t>煤仓200m³防爆阀</t>
  </si>
  <si>
    <t>1.87</t>
  </si>
  <si>
    <t>L91-3S86.AE10</t>
  </si>
  <si>
    <t xml:space="preserve">Система аэрации силоса 200 м3                                </t>
  </si>
  <si>
    <t>200m³料仓流化系统</t>
  </si>
  <si>
    <t>1.88</t>
  </si>
  <si>
    <t>L91-3S86.YX11
L91-3S86.YX12
L91-3S86.YX13
L91-3S86.YX14</t>
  </si>
  <si>
    <t xml:space="preserve">Тензодатчики силоса угольного порошка  200 м3 RTN68                                                                              </t>
  </si>
  <si>
    <t>煤粉料仓200m³称重传感器 RTN68</t>
  </si>
  <si>
    <t>1.89</t>
  </si>
  <si>
    <t>L91-2K88</t>
  </si>
  <si>
    <t xml:space="preserve">Газоанализатор  СО, силоса 200 m³ </t>
  </si>
  <si>
    <t>200m³料仓CO气体分析仪</t>
  </si>
  <si>
    <t>1.90</t>
  </si>
  <si>
    <t>L91-BF87</t>
  </si>
  <si>
    <t>Фильтр рукавный силоса молотого угля 200 м3 для СБ</t>
  </si>
  <si>
    <t>200m³煤粉料仓袋收尘器（供SB）</t>
  </si>
  <si>
    <t>1.91</t>
  </si>
  <si>
    <t>L91-BF87.FA10</t>
  </si>
  <si>
    <t xml:space="preserve">Вентилятор фильтра силоса +Электодвигатель        </t>
  </si>
  <si>
    <t>料仓收尘器风机+电动机</t>
  </si>
  <si>
    <t>1.92</t>
  </si>
  <si>
    <t>L91-BF87.MT10</t>
  </si>
  <si>
    <t xml:space="preserve">Электодвигатель Вентилятор фильтра силоса        </t>
  </si>
  <si>
    <t>料仓收尘器风机电动机</t>
  </si>
  <si>
    <t>1.93</t>
  </si>
  <si>
    <t>L91-CP89</t>
  </si>
  <si>
    <t xml:space="preserve">Компрессор инструментального воздуха силоса силосв 200м3+ Электодвигатель                                           </t>
  </si>
  <si>
    <t>200m³料仓仪表空气压缩机+电动机</t>
  </si>
  <si>
    <t>1.94</t>
  </si>
  <si>
    <t>L91-CP89.MT10</t>
  </si>
  <si>
    <t>Электодвигатель Компрессор инструментального воздуха силоса силосв 200м3</t>
  </si>
  <si>
    <t>200m³料仓仪表空气压缩机电动机</t>
  </si>
  <si>
    <t>1.95</t>
  </si>
  <si>
    <t>L91-BL91.</t>
  </si>
  <si>
    <t xml:space="preserve">Воздуходувка №1                                                             </t>
  </si>
  <si>
    <t>鼓风机№1</t>
  </si>
  <si>
    <t>1.96</t>
  </si>
  <si>
    <t>L91-BL91.MT10</t>
  </si>
  <si>
    <t xml:space="preserve">Эл. двигатель   Воздуходувка №1                                       </t>
  </si>
  <si>
    <t>鼓风机№1电动机</t>
  </si>
  <si>
    <t>1.97</t>
  </si>
  <si>
    <t>L91-BL91.VA10</t>
  </si>
  <si>
    <t xml:space="preserve">Задвижка воздуходувки №1                                           </t>
  </si>
  <si>
    <t>鼓风机№1闸阀</t>
  </si>
  <si>
    <t>1.98</t>
  </si>
  <si>
    <t>L91-BL92.</t>
  </si>
  <si>
    <t xml:space="preserve">Воздуходувка №2                                                       </t>
  </si>
  <si>
    <t>鼓风机№2</t>
  </si>
  <si>
    <t>1.99</t>
  </si>
  <si>
    <t>L91-BL92.MT10</t>
  </si>
  <si>
    <t xml:space="preserve">Эл. двигатель   Воздуходувка №2                                 </t>
  </si>
  <si>
    <t>鼓风机№2电动机</t>
  </si>
  <si>
    <t>1.100</t>
  </si>
  <si>
    <t>L91-BL92.VA10</t>
  </si>
  <si>
    <t xml:space="preserve">Задвижка воздуходувки №2                                          </t>
  </si>
  <si>
    <t>鼓风机№2闸阀</t>
  </si>
  <si>
    <t>1.101</t>
  </si>
  <si>
    <t>L91-BL93</t>
  </si>
  <si>
    <t xml:space="preserve">Воздуходувка №3                                                              </t>
  </si>
  <si>
    <t>鼓风机№3</t>
  </si>
  <si>
    <t>1.102</t>
  </si>
  <si>
    <t>L91-BL93.MT10</t>
  </si>
  <si>
    <t xml:space="preserve">Эл. двигатель   Воздуходувка №3                                         </t>
  </si>
  <si>
    <t>鼓风机№3电动机</t>
  </si>
  <si>
    <t>1.103</t>
  </si>
  <si>
    <t>L91-BL93.VA10</t>
  </si>
  <si>
    <t xml:space="preserve">Задвижка воздуходувки №3                                              </t>
  </si>
  <si>
    <t>鼓风机№3闸阀</t>
  </si>
  <si>
    <t>1.104</t>
  </si>
  <si>
    <t>L91-BL93.VA20</t>
  </si>
  <si>
    <t xml:space="preserve">Резерв Задвижка воздуходувки №3                        </t>
  </si>
  <si>
    <t>备用 鼓风机№3闸阀</t>
  </si>
  <si>
    <t>1.105</t>
  </si>
  <si>
    <t>L91-WF95</t>
  </si>
  <si>
    <t xml:space="preserve">Дозатор весовой молотого угля №1                             </t>
  </si>
  <si>
    <t>煤粉称重计量器№1</t>
  </si>
  <si>
    <t>1.106</t>
  </si>
  <si>
    <t>L91-WF95.MR10
L91-WF95.MT10
L91-WF95.MT20</t>
  </si>
  <si>
    <t xml:space="preserve">моторедуктор Дозатор весовой молотого угля №1  </t>
  </si>
  <si>
    <t>煤粉称重计量器№1减速电机</t>
  </si>
  <si>
    <t>1.107</t>
  </si>
  <si>
    <t>L91-DU96</t>
  </si>
  <si>
    <t xml:space="preserve">Углепровод №1                                                                      </t>
  </si>
  <si>
    <t>输煤管道№1</t>
  </si>
  <si>
    <t>1.108</t>
  </si>
  <si>
    <t>L91-WF97</t>
  </si>
  <si>
    <t xml:space="preserve">Дозатор весовой молотого угля №2                               </t>
  </si>
  <si>
    <t>煤粉称重计量器№2</t>
  </si>
  <si>
    <t>1.109</t>
  </si>
  <si>
    <t>L91-WF97.MR10
L91-WF97.MT10
L91-WF97.MT20</t>
  </si>
  <si>
    <t xml:space="preserve">моторедуктор Дозатор весовой молотого угля №2  </t>
  </si>
  <si>
    <t>煤粉称重计量器№2减速电机</t>
  </si>
  <si>
    <t>1.110</t>
  </si>
  <si>
    <t>L91-DU98</t>
  </si>
  <si>
    <t xml:space="preserve">Углепровод №2                                                                     </t>
  </si>
  <si>
    <t>输煤管道№2</t>
  </si>
  <si>
    <t>1.111</t>
  </si>
  <si>
    <t>L91-CP1A</t>
  </si>
  <si>
    <t>Компрессор транспортировки молотого угля на СБ</t>
  </si>
  <si>
    <t>向SB输送煤粉压缩机</t>
  </si>
  <si>
    <t>1.112</t>
  </si>
  <si>
    <t>L91-CP1A.MT10</t>
  </si>
  <si>
    <t xml:space="preserve"> электродвигатель Компрессора транспортировки молотого угля на СБ                                                  </t>
  </si>
  <si>
    <t>向SB输送煤粉压缩机电动机</t>
  </si>
  <si>
    <t>1.113</t>
  </si>
  <si>
    <t>L91-PP2A</t>
  </si>
  <si>
    <t xml:space="preserve">Насос пневмкамерный молотого угля №1              </t>
  </si>
  <si>
    <t>煤粉仓式泵№1</t>
  </si>
  <si>
    <t>1.114</t>
  </si>
  <si>
    <t>L91-PP3A</t>
  </si>
  <si>
    <t xml:space="preserve">Насос пневмкамерный молотого угля №2              </t>
  </si>
  <si>
    <t>煤粉仓式泵№2</t>
  </si>
  <si>
    <t>1.115</t>
  </si>
  <si>
    <t>L91-DU4A</t>
  </si>
  <si>
    <t xml:space="preserve">Углепровод транспортировки молотого угля в силос угля ПОК                                                                            </t>
  </si>
  <si>
    <t>煤粉输送至POK煤仓输煤管道</t>
  </si>
  <si>
    <t>1.116</t>
  </si>
  <si>
    <t>L91-3S5A.EX10</t>
  </si>
  <si>
    <t xml:space="preserve">Клапан взрывной силоса угля 100м3                     </t>
  </si>
  <si>
    <t>煤仓100m³防爆阀</t>
  </si>
  <si>
    <t>1.117</t>
  </si>
  <si>
    <t>L91-3S5A.AE10</t>
  </si>
  <si>
    <t xml:space="preserve">Система аэрации силоса 100 м3                    </t>
  </si>
  <si>
    <t>100m³料仓流化系统</t>
  </si>
  <si>
    <t>1.118</t>
  </si>
  <si>
    <t>L91-3S5A.YX11
L91-3S5A.YX12
L91-3S5A.YX13
L91-3S5A.YX14</t>
  </si>
  <si>
    <t xml:space="preserve">Тензодатчики силоса угольного порошка RTN 33t C3                                                                            </t>
  </si>
  <si>
    <t>煤粉料仓称重传感器 RTN 33t C3</t>
  </si>
  <si>
    <t>1.119</t>
  </si>
  <si>
    <t>L91-BF6A</t>
  </si>
  <si>
    <t xml:space="preserve">Фильтр рукавный Силоса хранения угля 100м3 для СБ                                                                                       </t>
  </si>
  <si>
    <t>100m³储煤料仓袋收尘器（供SB）</t>
  </si>
  <si>
    <t>1.120</t>
  </si>
  <si>
    <t>L91-BF6A.FA10</t>
  </si>
  <si>
    <t xml:space="preserve">Вентилятор фильтра рукавного силоса угля 100м3                                                                               </t>
  </si>
  <si>
    <t>100m³煤仓袋收尘器风机</t>
  </si>
  <si>
    <t>1.121</t>
  </si>
  <si>
    <t>L91-BF6A.MT10</t>
  </si>
  <si>
    <t xml:space="preserve">Эл.двигатель Вентилятора фильтра силоса                         </t>
  </si>
  <si>
    <t>1.122</t>
  </si>
  <si>
    <t>L91-2K7A</t>
  </si>
  <si>
    <t xml:space="preserve">Газоанализатор СО силоса СБ                                 </t>
  </si>
  <si>
    <t>SB料仓CO气体分析仪</t>
  </si>
  <si>
    <t>1.123</t>
  </si>
  <si>
    <t>L91-CP8A</t>
  </si>
  <si>
    <t xml:space="preserve">Компрессор инструментального воздуха силоса угля 100м3                                                                              </t>
  </si>
  <si>
    <t>100m³煤仓仪表空气压缩机</t>
  </si>
  <si>
    <t>1.124</t>
  </si>
  <si>
    <t>L91-BL1B</t>
  </si>
  <si>
    <t xml:space="preserve">Воздуходувка  транспортировки угольной пыли             резервная                                                                                 </t>
  </si>
  <si>
    <t>煤粉输送鼓风机（备用）</t>
  </si>
  <si>
    <t>1.125</t>
  </si>
  <si>
    <t>L91-BL1B.VA10</t>
  </si>
  <si>
    <t>1.126</t>
  </si>
  <si>
    <t>L91-BL1B.VA20</t>
  </si>
  <si>
    <t xml:space="preserve">Задвижка резарвирования №1                                    </t>
  </si>
  <si>
    <t>备用闸阀№1</t>
  </si>
  <si>
    <t>1.127</t>
  </si>
  <si>
    <t>L91-BL2B</t>
  </si>
  <si>
    <t xml:space="preserve">Воздуходувка транспортировки угольной пыли на СБ2                                                                                     </t>
  </si>
  <si>
    <t>向SB2输送煤粉鼓风机</t>
  </si>
  <si>
    <t>1.128</t>
  </si>
  <si>
    <t>L91-BL2B.VA10</t>
  </si>
  <si>
    <t xml:space="preserve">Задвижка воздуходувки №2                                         </t>
  </si>
  <si>
    <t>1.129</t>
  </si>
  <si>
    <t>L91-BL3B</t>
  </si>
  <si>
    <t xml:space="preserve">Воздуходувка транспортировки угольной пыли на СБ3                                                                                       </t>
  </si>
  <si>
    <t>向SB3输送煤粉鼓风机</t>
  </si>
  <si>
    <t>1.130</t>
  </si>
  <si>
    <t>L91-BL3B.VA10</t>
  </si>
  <si>
    <t xml:space="preserve">Задвижка воздуходувки №3                                               </t>
  </si>
  <si>
    <t>1.131</t>
  </si>
  <si>
    <t>L91-WF5B</t>
  </si>
  <si>
    <t xml:space="preserve">Дозатор молотого угля на СБ2                                    </t>
  </si>
  <si>
    <t>向SB2煤粉计量器</t>
  </si>
  <si>
    <t>1.132</t>
  </si>
  <si>
    <t>L91-WF5B-MR10
L91-WF5B-MT10
L91-WF5B-MT20</t>
  </si>
  <si>
    <t xml:space="preserve">моторедуктор Дозатор весовой молотого угля №2            </t>
  </si>
  <si>
    <t>1.133</t>
  </si>
  <si>
    <t>L91-DU6B</t>
  </si>
  <si>
    <t xml:space="preserve">Углепровод подячи молоього угля на СБ2                 </t>
  </si>
  <si>
    <t>向SB2输送煤粉管道</t>
  </si>
  <si>
    <t>1.134</t>
  </si>
  <si>
    <t>L91-WF7B</t>
  </si>
  <si>
    <t xml:space="preserve">Дозатор молотого угля на СБ3                                          </t>
  </si>
  <si>
    <t>向SB3煤粉计量器</t>
  </si>
  <si>
    <t>1.135</t>
  </si>
  <si>
    <t>L91-WF7B-MR10
L91-WF7B-MT10
L91-WF7B-MT20</t>
  </si>
  <si>
    <t xml:space="preserve">моторедуктор Дозатор весовой молотого угля №3         </t>
  </si>
  <si>
    <t>煤粉称重计量器№3减速电机</t>
  </si>
  <si>
    <t>1.136</t>
  </si>
  <si>
    <t>L91-DU8B</t>
  </si>
  <si>
    <t xml:space="preserve">Углепровод подячи молоього угля на СБ3                </t>
  </si>
  <si>
    <t>向SB3输送煤粉管道</t>
  </si>
  <si>
    <t>1.137</t>
  </si>
  <si>
    <t>461-BU67</t>
  </si>
  <si>
    <t xml:space="preserve">Горелка  печи №1                                                                    </t>
  </si>
  <si>
    <t>窑№1燃烧器</t>
  </si>
  <si>
    <t>1.138</t>
  </si>
  <si>
    <t>461-FA68</t>
  </si>
  <si>
    <t xml:space="preserve">Вентилятор MAS aer горелки печи №1                            </t>
  </si>
  <si>
    <t>窑№1燃烧器MAS aer风机</t>
  </si>
  <si>
    <t>1.139</t>
  </si>
  <si>
    <t>461-FA68.MT10</t>
  </si>
  <si>
    <t xml:space="preserve">Эл.двигатель Вентилятора MAS aer горелки печи №1                                                                                          </t>
  </si>
  <si>
    <t>窑№1燃烧器MAS aer风机电动机</t>
  </si>
  <si>
    <t>1.140</t>
  </si>
  <si>
    <t>461-FA68.DA10</t>
  </si>
  <si>
    <t xml:space="preserve">Шибер Вентилятора MAS aer горелки печи №1            </t>
  </si>
  <si>
    <t>窑№1燃烧器MAS aer风机闸板</t>
  </si>
  <si>
    <t>1.141</t>
  </si>
  <si>
    <t>461-FA69</t>
  </si>
  <si>
    <t xml:space="preserve">Вентилятор аварийного охлаждения горелки печи №1                                                                                         </t>
  </si>
  <si>
    <t>窑№1燃烧器应急冷却风机</t>
  </si>
  <si>
    <t>1.142</t>
  </si>
  <si>
    <t>461-FA69.MT10</t>
  </si>
  <si>
    <t xml:space="preserve">Эл.двигатель Вентилятора аварийного охлаждения горелки печи №1                                                                     </t>
  </si>
  <si>
    <t>窑№1燃烧器应急冷却风机电动机</t>
  </si>
  <si>
    <t>1.143</t>
  </si>
  <si>
    <t>461-FA69.DA10</t>
  </si>
  <si>
    <t xml:space="preserve">Шибер Вентилятора аварийного охлаждения горелки печи №1                                                                         </t>
  </si>
  <si>
    <t>窑№1燃烧器应急冷却风机闸板</t>
  </si>
  <si>
    <t>1.144</t>
  </si>
  <si>
    <t>462-BU67</t>
  </si>
  <si>
    <t xml:space="preserve">Горелка печи №2                                                         </t>
  </si>
  <si>
    <t>窑№2燃烧器</t>
  </si>
  <si>
    <t>1.145</t>
  </si>
  <si>
    <t>462-FA68</t>
  </si>
  <si>
    <t xml:space="preserve">Вентилятор MAS aer горелки печи №2                              </t>
  </si>
  <si>
    <t>窑№2燃烧器MAS aer风机</t>
  </si>
  <si>
    <t>1.146</t>
  </si>
  <si>
    <t>462-FA68.MT10</t>
  </si>
  <si>
    <t xml:space="preserve">Эл.двигатель Вентилятора MAS aer горелки печи №2                                                                                                 </t>
  </si>
  <si>
    <t>窑№2燃烧器MAS aer风机电动机</t>
  </si>
  <si>
    <t>1.147</t>
  </si>
  <si>
    <t>462-FA68.DA10</t>
  </si>
  <si>
    <t xml:space="preserve">Шибер Вентилятора MAS aer горелки печи №2                        </t>
  </si>
  <si>
    <t>窑№2燃烧器MAS aer风机闸板</t>
  </si>
  <si>
    <t>1.148</t>
  </si>
  <si>
    <t>462-FA69</t>
  </si>
  <si>
    <t xml:space="preserve">Вентилятор аварийного охлаждения горелки печи №2                                                                                               </t>
  </si>
  <si>
    <t>窑№2燃烧器应急冷却风机</t>
  </si>
  <si>
    <t>1.149</t>
  </si>
  <si>
    <t>462-FA69.MT10</t>
  </si>
  <si>
    <t xml:space="preserve">Эл.двигатель Вентилятора аварийного охлаждения горелки печи №2                                                                      </t>
  </si>
  <si>
    <t>窑№2燃烧器应急冷却风机电动机</t>
  </si>
  <si>
    <t>1.150</t>
  </si>
  <si>
    <t>462-FA69.DA10</t>
  </si>
  <si>
    <t xml:space="preserve">Шибер Вентилятора аварийного охлаждения горелки печи №2                                                                                  </t>
  </si>
  <si>
    <t>窑№2燃烧器应急冷却风机闸板</t>
  </si>
  <si>
    <t>1.151</t>
  </si>
  <si>
    <t>252-BU07</t>
  </si>
  <si>
    <t xml:space="preserve">Комбинированная горелка СБ2                                </t>
  </si>
  <si>
    <t>SB2组合燃烧器</t>
  </si>
  <si>
    <t>1.152</t>
  </si>
  <si>
    <t>252-BU07.FA07</t>
  </si>
  <si>
    <t xml:space="preserve">Вентилятор горелки СБ2 c эл. Двигателем и шибером                                                                                              </t>
  </si>
  <si>
    <t>SB2燃烧器风机（含电机和闸板）</t>
  </si>
  <si>
    <t>1.153</t>
  </si>
  <si>
    <t>252-BU07.MT07</t>
  </si>
  <si>
    <t xml:space="preserve">Эл.двигатель вентилятора горелки СБ2                       </t>
  </si>
  <si>
    <t>SB2燃烧器风机电动机</t>
  </si>
  <si>
    <t>1.154</t>
  </si>
  <si>
    <t>252-BU07.DA07</t>
  </si>
  <si>
    <t xml:space="preserve">Шибер вентилятор горелки СБ2                                 </t>
  </si>
  <si>
    <t>SB2燃烧器风机闸板</t>
  </si>
  <si>
    <t>1.155</t>
  </si>
  <si>
    <t>252-BU07.SV07</t>
  </si>
  <si>
    <t xml:space="preserve">Сервопривод шибера вентилятора горелки СБ2 </t>
  </si>
  <si>
    <t>SB2燃烧器风机闸板伺服执行器</t>
  </si>
  <si>
    <t>1.156</t>
  </si>
  <si>
    <t>252-HG08</t>
  </si>
  <si>
    <t xml:space="preserve">Топка сушильного барабана №2                              </t>
  </si>
  <si>
    <t>烘干机№2燃烧室</t>
  </si>
  <si>
    <t>1.157</t>
  </si>
  <si>
    <t>252-CK09</t>
  </si>
  <si>
    <t>Смесительная камера СБ2</t>
  </si>
  <si>
    <t>SB2混合室</t>
  </si>
  <si>
    <t>1.158</t>
  </si>
  <si>
    <t>252-CK09.FA09</t>
  </si>
  <si>
    <t xml:space="preserve">Вентилятор смесительной камеры СБ2                     </t>
  </si>
  <si>
    <t>SB2混合室风机</t>
  </si>
  <si>
    <t>1.159</t>
  </si>
  <si>
    <t>252-CK09.MT09</t>
  </si>
  <si>
    <t xml:space="preserve">Эл.двигатель вентилятора горелки СБ2                     </t>
  </si>
  <si>
    <t>1.160</t>
  </si>
  <si>
    <t>252-CK09.DA09</t>
  </si>
  <si>
    <t xml:space="preserve">Шибер вентилятор смесительной камеры СБ2              </t>
  </si>
  <si>
    <t>SB2混合室风机闸板</t>
  </si>
  <si>
    <t>1.161</t>
  </si>
  <si>
    <t>252-CK09.SV09</t>
  </si>
  <si>
    <t xml:space="preserve">Сервопривод шибера вентилятора смесительной камеры СБ2                                                        </t>
  </si>
  <si>
    <t>SB2混合室风机闸板伺服执行器</t>
  </si>
  <si>
    <t>1.162</t>
  </si>
  <si>
    <t xml:space="preserve">252-CV10 </t>
  </si>
  <si>
    <t xml:space="preserve">Пластинчатый питатель сброса золы                                    </t>
  </si>
  <si>
    <t>落灰链板给料机</t>
  </si>
  <si>
    <t>1.163</t>
  </si>
  <si>
    <t>252-CV10.MT10</t>
  </si>
  <si>
    <t xml:space="preserve">Эл.двигатель Пластинчатого питателя сброса золы                                   </t>
  </si>
  <si>
    <t>落灰链板给料机电动机</t>
  </si>
  <si>
    <t>1.164</t>
  </si>
  <si>
    <t>253-BU07</t>
  </si>
  <si>
    <t xml:space="preserve">Комбинированная горелка СБ3                                  </t>
  </si>
  <si>
    <t>SB3组合燃烧器</t>
  </si>
  <si>
    <t>1.165</t>
  </si>
  <si>
    <t>253-BU07.FA10</t>
  </si>
  <si>
    <t xml:space="preserve">Вентилятор горелки СБ3                                                    </t>
  </si>
  <si>
    <t>SB3燃烧器风机</t>
  </si>
  <si>
    <t>1.166</t>
  </si>
  <si>
    <t>253-BU07.MT10</t>
  </si>
  <si>
    <t xml:space="preserve">Эл.двигатель вентилятора горелки СБ3                                   </t>
  </si>
  <si>
    <t>SB3燃烧器风机电动机</t>
  </si>
  <si>
    <t>1.167</t>
  </si>
  <si>
    <t>253-BU07.DA07</t>
  </si>
  <si>
    <t xml:space="preserve">Шибер вентилятор горелки СБ3                                            </t>
  </si>
  <si>
    <t>SB3燃烧器风机闸板</t>
  </si>
  <si>
    <t>1.168</t>
  </si>
  <si>
    <t>253-BU07.SV07</t>
  </si>
  <si>
    <t xml:space="preserve">Сервопривод шибера вентилятора горелки СБ3                             </t>
  </si>
  <si>
    <t>SB3燃烧器风机闸板伺服执行器</t>
  </si>
  <si>
    <t>1.169</t>
  </si>
  <si>
    <t>253-HG08</t>
  </si>
  <si>
    <t xml:space="preserve">Топка сушильного барабана №3                                  </t>
  </si>
  <si>
    <t>烘干机№3燃烧室</t>
  </si>
  <si>
    <t>1.170</t>
  </si>
  <si>
    <t>253-CK09</t>
  </si>
  <si>
    <t xml:space="preserve">Смесительная камера СБ3                                                  </t>
  </si>
  <si>
    <t>SB3混合室</t>
  </si>
  <si>
    <t>1.171</t>
  </si>
  <si>
    <t>253-CK09.FA09</t>
  </si>
  <si>
    <t xml:space="preserve">Вентилятор смесительной камеры СБ3                </t>
  </si>
  <si>
    <t>SB3混合室风机</t>
  </si>
  <si>
    <t>1.172</t>
  </si>
  <si>
    <t>253-CK09.MT09</t>
  </si>
  <si>
    <t xml:space="preserve">Эл.двигатель вентилятора смесительной камеры            СБ3                                                                                      </t>
  </si>
  <si>
    <t>SB3混合室风机电动机</t>
  </si>
  <si>
    <t>1.173</t>
  </si>
  <si>
    <t>253-CK09.DA09</t>
  </si>
  <si>
    <t xml:space="preserve">Шибер вентилятор горелки СБ3                                    </t>
  </si>
  <si>
    <t>1.174</t>
  </si>
  <si>
    <t>253-CK09.SV09</t>
  </si>
  <si>
    <t xml:space="preserve">Сервопривод шибера вентилятора смесительной камеры СБ3                                                                            </t>
  </si>
  <si>
    <t>SB3混合室风机闸板伺服执行器</t>
  </si>
  <si>
    <t>1.175</t>
  </si>
  <si>
    <t xml:space="preserve">253-CV10 </t>
  </si>
  <si>
    <t xml:space="preserve">Пластинчатый питатель сброса золы                     </t>
  </si>
  <si>
    <t>1.176</t>
  </si>
  <si>
    <t>253-CV10.MT10</t>
  </si>
  <si>
    <t xml:space="preserve">Эл.двигатель Пластинчатого питателя сброса золы                                                                       </t>
  </si>
  <si>
    <t>2.</t>
  </si>
  <si>
    <t>Демонтажные работы</t>
  </si>
  <si>
    <t>拆除工程</t>
  </si>
  <si>
    <t>2.1</t>
  </si>
  <si>
    <t>Демонтаж существующих конструкций площадок здания сушильного отделения на отм. +7500, +9500 в осях 10-12</t>
  </si>
  <si>
    <t>拆除烘干车间建筑平台现有结构 标高+7500、+9500 轴线10-12</t>
  </si>
  <si>
    <t>2.2</t>
  </si>
  <si>
    <t>  Демонтаж существующих конструкций фахверка здания сушильного отделения в осях 10-12</t>
  </si>
  <si>
    <t>拆除烘干车间建筑填充墙框架现有结构 轴线10-12</t>
  </si>
  <si>
    <t>2.3</t>
  </si>
  <si>
    <t>Демонтаж газовой горелки печи обжига клинкера №1</t>
  </si>
  <si>
    <t>拆除熟料煅烧窑№1燃气燃烧器</t>
  </si>
  <si>
    <t>2.4</t>
  </si>
  <si>
    <t>Демонтаж газовой горелки печи обжига клинкера №2</t>
  </si>
  <si>
    <t>拆除熟料煅烧窑№2燃气燃烧器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</si>
  <si>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</si>
  <si>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</si>
  <si>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</si>
  <si>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</si>
  <si>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</si>
  <si>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</si>
  <si>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</si>
  <si>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</si>
  <si>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</si>
  <si>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</si>
  <si>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</si>
  <si>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</si>
  <si>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</si>
  <si>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</si>
  <si>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</si>
  <si>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3.</t>
  </si>
  <si>
    <t>Монтаж технологического оборудования поставки Заказчика</t>
  </si>
  <si>
    <t>安装业主供货的工艺设备</t>
  </si>
  <si>
    <t>3.1</t>
  </si>
  <si>
    <t>L61-BF75</t>
  </si>
  <si>
    <t>Рукавный Фильтр процесса шаровой мельницы производительностью 78 000 м³/час</t>
  </si>
  <si>
    <t>球磨机工艺袋收尘器 处理能力78,000m³/h</t>
  </si>
  <si>
    <t>3.2</t>
  </si>
  <si>
    <t>L61-BF75.RT10</t>
  </si>
  <si>
    <t>Шибер на входе фильтра процесса</t>
  </si>
  <si>
    <t>工艺收尘器入口闸板</t>
  </si>
  <si>
    <t>3.3</t>
  </si>
  <si>
    <t>L61-BF75.SC10</t>
  </si>
  <si>
    <t>Шнек рукавного фильтра процесса</t>
  </si>
  <si>
    <t>工艺袋收尘器螺旋输送机</t>
  </si>
  <si>
    <t>3.4</t>
  </si>
  <si>
    <t>L61-BF75.MR10</t>
  </si>
  <si>
    <t>Моторедуктор Шнека</t>
  </si>
  <si>
    <t>螺旋输送机减速电机</t>
  </si>
  <si>
    <t>3.5</t>
  </si>
  <si>
    <t>L61-BF75.RF10</t>
  </si>
  <si>
    <t>Питатель ячейковый</t>
  </si>
  <si>
    <t>3.6</t>
  </si>
  <si>
    <t>L61-BF75.MR20</t>
  </si>
  <si>
    <t>Моторедуктор Питателя ячейкового</t>
  </si>
  <si>
    <t>3.7</t>
  </si>
  <si>
    <t>Газоанализатор O2, СО, Помол угля</t>
  </si>
  <si>
    <t>3.8</t>
  </si>
  <si>
    <t>L61-FN78</t>
  </si>
  <si>
    <t>Дымосос Фильтра процесса</t>
  </si>
  <si>
    <t>工艺收尘器引风机</t>
  </si>
  <si>
    <t>3.9</t>
  </si>
  <si>
    <t>L61-FN78.МТ10</t>
  </si>
  <si>
    <t>Электродвигатель дымососа с частотным преобразователем</t>
  </si>
  <si>
    <t>L61-FN78.MT10</t>
  </si>
  <si>
    <t>引风机电动机（含变频器）</t>
  </si>
  <si>
    <t>3.10</t>
  </si>
  <si>
    <t>L61-SR70.EX10</t>
  </si>
  <si>
    <t>Взрывной клапан сепаратора</t>
  </si>
  <si>
    <t>选粉机防爆阀</t>
  </si>
  <si>
    <t>3.11</t>
  </si>
  <si>
    <t>Компенсаторы на входе/выходе фильтра процесса</t>
  </si>
  <si>
    <t>工艺收尘器入口/出口补偿器</t>
  </si>
  <si>
    <t>3.12</t>
  </si>
  <si>
    <t>L51-BF55</t>
  </si>
  <si>
    <t>Рукавный фильтр сушильного барабана производительностью 100 000 м³/час</t>
  </si>
  <si>
    <t>烘干机袋收尘器 处理能力100,000m³/h</t>
  </si>
  <si>
    <t>3.13</t>
  </si>
  <si>
    <t>L51-BF55.RT10</t>
  </si>
  <si>
    <t>Шибер на входе РФ сушильного барабана</t>
  </si>
  <si>
    <t>烘干机袋收尘器入口闸板</t>
  </si>
  <si>
    <t>3.14</t>
  </si>
  <si>
    <t>L51-BF55.SC10</t>
  </si>
  <si>
    <t>Шнек выгрузки рукавного фильтра сушильного барабана</t>
  </si>
  <si>
    <t>烘干机袋收尘器卸料螺旋输送机</t>
  </si>
  <si>
    <t>3.15</t>
  </si>
  <si>
    <t>L51-BF55.MR10</t>
  </si>
  <si>
    <t>Моторедуктор Шнека выгрузки рукавного фильтра сушильного барабана</t>
  </si>
  <si>
    <t>烘干机袋收尘器卸料螺旋输送机减速电机</t>
  </si>
  <si>
    <t>3.16</t>
  </si>
  <si>
    <t>L51-BF55.RF20</t>
  </si>
  <si>
    <t>Питатель ячейковый выгрузки фильтра</t>
  </si>
  <si>
    <t>收尘器卸料分格轮给料机</t>
  </si>
  <si>
    <t>3.17</t>
  </si>
  <si>
    <t>L51-BF55.MR20</t>
  </si>
  <si>
    <t xml:space="preserve">Моторедуктор питателя ячейкового </t>
  </si>
  <si>
    <t>3.18</t>
  </si>
  <si>
    <t>L51-DG57.</t>
  </si>
  <si>
    <t>Переключатель потока уголь/известняк</t>
  </si>
  <si>
    <t>煤/石灰石物料换向器</t>
  </si>
  <si>
    <t>3.19</t>
  </si>
  <si>
    <t>L51-DG57.MR10</t>
  </si>
  <si>
    <t>Моторедуктор Переключателя потока</t>
  </si>
  <si>
    <t>物料换向器减速电机</t>
  </si>
  <si>
    <t>3.20</t>
  </si>
  <si>
    <t>L51-FN58.</t>
  </si>
  <si>
    <t>Дымосос рукавного фильтра СБ</t>
  </si>
  <si>
    <t>SB袋收尘器引风机</t>
  </si>
  <si>
    <t>3.21</t>
  </si>
  <si>
    <t>L51-FN58.MT10</t>
  </si>
  <si>
    <t>Электродвигатель  Вентилятора рукавного фильтра СБ</t>
  </si>
  <si>
    <t>SB袋收尘器风机电动机</t>
  </si>
  <si>
    <t>3.22</t>
  </si>
  <si>
    <t>L51-EX54</t>
  </si>
  <si>
    <t>Клапан взрывной</t>
  </si>
  <si>
    <t>防爆阀</t>
  </si>
  <si>
    <t>3.23</t>
  </si>
  <si>
    <t>Компенсаторы на входе/выходе фильтра</t>
  </si>
  <si>
    <t>收尘器入口/出口补偿器</t>
  </si>
  <si>
    <t>3.24</t>
  </si>
  <si>
    <t xml:space="preserve">Циклон газохода кальцинатора ПОК 1 
                                            </t>
  </si>
  <si>
    <t>POK1分解炉烟道旋风筒</t>
  </si>
  <si>
    <t>3.25</t>
  </si>
  <si>
    <t xml:space="preserve">Циклон газохода кальцинатора ПОК 2                                                              </t>
  </si>
  <si>
    <t>POK2分解炉烟道旋风筒</t>
  </si>
  <si>
    <t>3.26</t>
  </si>
  <si>
    <t>481-CS81</t>
  </si>
  <si>
    <t xml:space="preserve">Циклон газохода холодильника ПОК 1 
                                            </t>
  </si>
  <si>
    <t>POK1冷却机烟道旋风筒</t>
  </si>
  <si>
    <t>3.27</t>
  </si>
  <si>
    <t>482-CS81</t>
  </si>
  <si>
    <t xml:space="preserve">Циклон газохода холодильника ПОК 2                                                              </t>
  </si>
  <si>
    <t>POK2冷却机烟道旋风筒</t>
  </si>
  <si>
    <t>4.</t>
  </si>
  <si>
    <t>Монтаж металлоконструкций поставки Agico Cement</t>
  </si>
  <si>
    <t>安装AGICO供货的金属结构</t>
  </si>
  <si>
    <t>4.1</t>
  </si>
  <si>
    <t>Галерея ленточных транспортёров. Дробилка для твердого топлива с  распределительным транспортером</t>
  </si>
  <si>
    <t>60-0366-089-КМ</t>
  </si>
  <si>
    <t>皮带输送机通廊。固体燃料破碎机及分配输送机</t>
  </si>
  <si>
    <t>60-0366-089-KM</t>
  </si>
  <si>
    <t>4.2</t>
  </si>
  <si>
    <t>Сушильное отделение твёрдого топлива</t>
  </si>
  <si>
    <t>60-0366-081-КМ</t>
  </si>
  <si>
    <t>固体燃料烘干车间</t>
  </si>
  <si>
    <t>60-0366-081-KM</t>
  </si>
  <si>
    <t>4.3</t>
  </si>
  <si>
    <t>Сушильный барабан твёрдого топлива КМ ( приямок элеватора , галерея подземная)</t>
  </si>
  <si>
    <t>60-0366-083-КМ</t>
  </si>
  <si>
    <t>固体燃料烘干机KM（提升机地坑、地下通廊）</t>
  </si>
  <si>
    <t>60-0366-083-KM</t>
  </si>
  <si>
    <t>4.4</t>
  </si>
  <si>
    <t>Сушильный барабан твёрдого топлива КМ1 (вариант с металлическими  колоннами_ силос угольного порошка)</t>
  </si>
  <si>
    <t>60-0366-083-КМ1
60-0366-083-ТХ</t>
  </si>
  <si>
    <t>固体燃料烘干机KM1（钢柱方案_煤粉料仓）</t>
  </si>
  <si>
    <t>60-0366-083-KM1
60-0366-083-TKh</t>
  </si>
  <si>
    <t>4.5</t>
  </si>
  <si>
    <t xml:space="preserve">Дымовая труба сушильного отделения твёрдого топлива и  отделения помола твёрдого топлива 
-	опоры под газоходы
-	газоходы (лист 6 мм)
(в т.ч. прокатн. профиль – 1,2т) </t>
  </si>
  <si>
    <t>Раздел проекта на стадии разработки</t>
  </si>
  <si>
    <t>固体燃料烘干车间与固体燃料粉磨车间烟囱
-	烟道支架
-	烟道（6mm钢板）
（其中型钢–1.2吨）</t>
  </si>
  <si>
    <t>项目部分处于开发阶段</t>
  </si>
  <si>
    <t>4.6</t>
  </si>
  <si>
    <t>Здание рукавных фильтров сушильного отделения и отделения помола твёрдого топлива (рама под фильтр)</t>
  </si>
  <si>
    <t>烘干车间与粉磨车间袋收尘器厂房（收尘器框架）</t>
  </si>
  <si>
    <t>4.7</t>
  </si>
  <si>
    <t xml:space="preserve">Отделение помола твёрдого топлива
с шаровой мельницей  Ø3,2х8,5м.
-  Крановая эстакада
-Здание моторного отделения 
-Сепараторная этажерка </t>
  </si>
  <si>
    <t>固体燃料粉磨车间
球磨机Ø3.2×8.5m
-  起重机栈桥
-电机房
-选粉机支架</t>
  </si>
  <si>
    <t>4.8</t>
  </si>
  <si>
    <t xml:space="preserve">Газоход подачи горячего воздуха от холодильников ПОК1-2 в сушильное отделение твёрдого топлива
-опоры газохода 
- газоход   Ø1450х 6мм
(в т.ч. прокатный профиль – 4,25т) </t>
  </si>
  <si>
    <t>从POK1-2冷却机至固体燃料烘干车间热风管道
-烟道支架
-烟道 Ø1450×6mm
（其中型钢–4.25吨）</t>
  </si>
  <si>
    <t>4.9</t>
  </si>
  <si>
    <t>Газоход подачи горячего воздуха от кальцинаторов ПОК1-2 в отделение помола твёрдого топлива
- опоры газохода 
- газоход Ø1300х 6мм
(в т.ч. прокатный профиль – 2,6т)</t>
  </si>
  <si>
    <t>从POK1-2分解炉至固体燃料粉磨车间热风管道
-烟道支架
-烟道 Ø1300×6mm
（其中型钢–2.6吨）</t>
  </si>
  <si>
    <t>4.10</t>
  </si>
  <si>
    <t>Силос молотого топлива 200м3 с системой дозирования и транспортировки молотого топлива во вращающиеся печи №1-2</t>
  </si>
  <si>
    <t xml:space="preserve">60-0366-258КМ </t>
  </si>
  <si>
    <t>200m³煤粉仓（含向回转窑№1-2的煤粉计量与输送系统）</t>
  </si>
  <si>
    <t>60-0366-258-KM</t>
  </si>
  <si>
    <t>4.11</t>
  </si>
  <si>
    <t>Силос молотого топлива 100м3 с системой дозирования и транспортировки молотого топлива во вращающиеся печи №1-2</t>
  </si>
  <si>
    <t>60-0366-259-КМ</t>
  </si>
  <si>
    <t>100m³煤粉仓（含向回转窑№1-2的煤粉计量与输送系统）</t>
  </si>
  <si>
    <t>60-0366-259-KM</t>
  </si>
  <si>
    <t>4.12</t>
  </si>
  <si>
    <t>4.13</t>
  </si>
  <si>
    <t>4.14</t>
  </si>
  <si>
    <t>4.15</t>
  </si>
  <si>
    <t>4.16</t>
  </si>
  <si>
    <t>4.17</t>
  </si>
  <si>
    <t>4.18</t>
  </si>
  <si>
    <t>4.19</t>
  </si>
  <si>
    <t>5.</t>
  </si>
  <si>
    <t>Монтаж металлоконструкций поставки Заказчика</t>
  </si>
  <si>
    <t>安装业主供货的金属结构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</si>
  <si>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</si>
  <si>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</si>
  <si>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</si>
  <si>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</si>
  <si>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</si>
  <si>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</si>
  <si>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</si>
  <si>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</si>
  <si>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</si>
  <si>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</si>
  <si>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</si>
  <si>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</si>
  <si>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</si>
  <si>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</si>
  <si>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</si>
  <si>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</si>
  <si>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</si>
  <si>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</si>
  <si>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</si>
  <si>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6.</t>
  </si>
  <si>
    <t>Устройство термоизоляции объектов углеподготовительного комплекса</t>
  </si>
  <si>
    <t>煤粉制备车间设施保温隔热工程</t>
  </si>
  <si>
    <t>6.1</t>
  </si>
  <si>
    <t>L51-BF55
L61-BF75</t>
  </si>
  <si>
    <t>Устройство термоизоляции  рукавных фильтров 78 000 м³ и 100 000 м³  из минеральной ваты толщиной 75мм. (Два фильтра в одном корпусе с перегородкой)</t>
  </si>
  <si>
    <t>IFH-ER-32579</t>
  </si>
  <si>
    <t>78,000m³与100,000m³袋收尘器保温隔热 矿棉厚度75mm。（两个收尘器在同一壳体内，带隔板）</t>
  </si>
  <si>
    <t>6.2</t>
  </si>
  <si>
    <t>Устройство защитного слоя термоизоляции рукавных фильтров 78 000 м³ и 100 000 м³ из алюминиевого листа 0,56 мм. (Два фильтра в одном корпусе с перегородкой)</t>
  </si>
  <si>
    <t>78,000m³与100,000m³袋收尘器保温保护层 铝板0.56mm。（两个收尘器在同一壳体内，带隔板）</t>
  </si>
  <si>
    <t>6.3</t>
  </si>
  <si>
    <t xml:space="preserve"> Устройство термоизоляции циклонов газохода от холодильника ПОК№1 из минеральной ваты 100 мм, включая осаждающий бункер (1 циклон~91,7 м²) – 2шт</t>
  </si>
  <si>
    <t>60-0366-102-ТХ</t>
  </si>
  <si>
    <t xml:space="preserve"> POK№1冷却机烟道旋风筒保温隔热 矿棉100mm，含沉降室（1台旋风筒~91.7m²）–2台</t>
  </si>
  <si>
    <t>60-0366-102-TKh</t>
  </si>
  <si>
    <t>6.4</t>
  </si>
  <si>
    <t>Устройство защитного слоя термоизоляции циклонов газохода от холодильника ПОК№1 из оцинкованного листа 0,5 мм, включая осаждающий бункер (1 циклон~91,7 м²) – 2 шт</t>
  </si>
  <si>
    <t>POK№1冷却机烟道旋风筒保温保护层 镀锌板0.5mm，含沉降室（1台旋风筒~91.7m²）–2台</t>
  </si>
  <si>
    <t>6.5</t>
  </si>
  <si>
    <t xml:space="preserve"> Устройство термоизоляции циклонов газохода от холодильника ПОК№2 из минеральной ваты 100 мм, включая осаждающий бункер (1 циклон~91,7 м²) – 2шт</t>
  </si>
  <si>
    <t xml:space="preserve"> POK№2冷却机烟道旋风筒保温隔热 矿棉100mm，含沉降室（1台旋风筒~91.7m²）–2台</t>
  </si>
  <si>
    <t>6.6</t>
  </si>
  <si>
    <t>Устройство защитного слоя термоизоляции циклонов газохода от холодильника ПОК№2 из оцинкованного листа 0,5 мм, включая осаждающий бункер (1 циклон~91,7 м²) – 2 шт</t>
  </si>
  <si>
    <t>POK№2冷却机烟道旋风筒保温保护层 镀锌板0.5mm，含沉降室（1台旋风筒~91.7m²）–2台</t>
  </si>
  <si>
    <t>6.7</t>
  </si>
  <si>
    <t>L41-DU21
L41-DU22
L41-DU25</t>
  </si>
  <si>
    <t>Устройство термоизоляции газохода подачи горячих газов от холодильников ПОК №1 и №2, Ø1450 из минеральной ваты толщиной 100 мм</t>
  </si>
  <si>
    <t>POK№1和№2冷却机热风管道保温隔热 Ø1450 矿棉厚度100mm</t>
  </si>
  <si>
    <t>6.8</t>
  </si>
  <si>
    <t>Устройство защитного слоя термоизоляции газохода подачи горячих газов от холодильников ПОК №1 и №2, Ø1450 из оцинкованного листа 0,5 мм</t>
  </si>
  <si>
    <t>POK№1和№2冷却机热风管道保温保护层 Ø1450 镀锌板0.5mm</t>
  </si>
  <si>
    <t>6.9</t>
  </si>
  <si>
    <t xml:space="preserve"> Устройство термоизоляции циклона газохода кальцинатора ПОК1 из минеральной ваты 100 мм</t>
  </si>
  <si>
    <t>DXF-3150-00</t>
  </si>
  <si>
    <t>POK1分解炉烟道旋风筒保温隔热 矿棉100mm</t>
  </si>
  <si>
    <t>6.10</t>
  </si>
  <si>
    <t xml:space="preserve"> Устройство защитного слоя термоизоляции циклона газохода кальцинатора ПОК1 из оцинкованного листа 0,5 мм</t>
  </si>
  <si>
    <t>POK1分解炉烟道旋风筒保温保护层 镀锌板0.5mm</t>
  </si>
  <si>
    <t>6.11</t>
  </si>
  <si>
    <t xml:space="preserve"> Устройство термоизоляции циклона газохода кальцинатора ПОК2 из минеральной ваты 100 мм</t>
  </si>
  <si>
    <t>POK2分解炉烟道旋风筒保温隔热 矿棉100mm</t>
  </si>
  <si>
    <t>6.12</t>
  </si>
  <si>
    <t xml:space="preserve"> Устройство защитного слоя термоизоляции циклона газохода кальцинатора ПОК2 из оцинкованного листа 0,5 мм</t>
  </si>
  <si>
    <t>POK2分解炉烟道旋风筒保温保护层 镀锌板0.5mm</t>
  </si>
  <si>
    <t>6.13</t>
  </si>
  <si>
    <t>L41-DU32
L42-DU35
L41-DU38</t>
  </si>
  <si>
    <t>Устройство термоизоляции газохода подачи горячих газов от кальцинаторов ПОК №1 и №2, Ø1300 из минеральной ваты толщиной 100 мм</t>
  </si>
  <si>
    <t>POK№1和№2分解炉热风管道保温隔热 Ø1300 矿棉厚度100mm</t>
  </si>
  <si>
    <t>6.14</t>
  </si>
  <si>
    <t>Устройство защитного слоя термоизоляции газохода подачи горячих газов от кальцинаторов ПОК №1 и №2, Ø1300 из оцинкованного листа 0,5 мм</t>
  </si>
  <si>
    <t>POK№1和№2分解炉热风管道保温保护层 Ø1300 镀锌板0.5mm</t>
  </si>
  <si>
    <t>6.15</t>
  </si>
  <si>
    <t>6.16</t>
  </si>
  <si>
    <t>6.17</t>
  </si>
  <si>
    <t>6.18</t>
  </si>
  <si>
    <t>6.19</t>
  </si>
  <si>
    <t>7.</t>
  </si>
  <si>
    <t>Устройство ограждающих конструкций и кровли  объектов углеподготовительного комплекса</t>
  </si>
  <si>
    <t>煤粉制备车间设施围护结构与屋面工程</t>
  </si>
  <si>
    <t>7.1</t>
  </si>
  <si>
    <t>Устройство стенового ограждения этажерки силоса 200 м³ из сэндвич-панелей (100 мм).</t>
  </si>
  <si>
    <t>60-0366-258-АР</t>
  </si>
  <si>
    <t>200m³料仓支架墙体围护 夹芯板（100mm）。</t>
  </si>
  <si>
    <t>60-0366-258-AR</t>
  </si>
  <si>
    <t>7.2</t>
  </si>
  <si>
    <t>Устройство кровли  этажерки силоса 200 м³ из кровельных сэндвич-панелей (120 мм) в осях 1-6.</t>
  </si>
  <si>
    <t>200m³料仓支架屋面 屋面夹芯板（120mm）轴线1-6。</t>
  </si>
  <si>
    <t>7.3</t>
  </si>
  <si>
    <t>Устройство стенового ограждения этажеркисилоса 100 м³ из сэндвич-панелей (100 мм).</t>
  </si>
  <si>
    <t>60-0366-259-АР</t>
  </si>
  <si>
    <t>100m³料仓支架墙体围护 夹芯板（100mm）。</t>
  </si>
  <si>
    <t>60-0366-259-AR</t>
  </si>
  <si>
    <t>7.4</t>
  </si>
  <si>
    <t>Устройство кровли  этажерки силоса 100 м³ из кровельных сэндвич-панелей (120 мм) в осях 1-6.</t>
  </si>
  <si>
    <t>100m³料仓支架屋面 屋面夹芯板（120mm）轴线1-6。</t>
  </si>
  <si>
    <t>7.5</t>
  </si>
  <si>
    <t>Устройство покрытия входа подземнойгалереи сушильного отделения из профнастила Н57-750Х0.8</t>
  </si>
  <si>
    <t>60-0366-083-АР</t>
  </si>
  <si>
    <t>烘干车间地下通廊入口盖板 压型板Н57-750×0.8</t>
  </si>
  <si>
    <t>60-0366-083-AR</t>
  </si>
  <si>
    <t>7.6</t>
  </si>
  <si>
    <t>Устройство стенового ограждения здания моторного отделения шаровой мельницы из профнастила</t>
  </si>
  <si>
    <t>球磨机电机房墙体围护 压型板</t>
  </si>
  <si>
    <t>7.7</t>
  </si>
  <si>
    <t>Устройство кровли здания моторного отделения шаровой мельницы из профнастила</t>
  </si>
  <si>
    <t>球磨机电机房屋面 压型板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</si>
  <si>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</si>
  <si>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</si>
  <si>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</si>
  <si>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</si>
  <si>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</si>
  <si>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</si>
  <si>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</si>
  <si>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</si>
  <si>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</si>
  <si>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</si>
  <si>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</si>
  <si>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</si>
  <si>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8.</t>
  </si>
  <si>
    <t>Устройство ж/б конструкий и фундаментов</t>
  </si>
  <si>
    <t>钢筋混凝土结构与基础工程</t>
  </si>
  <si>
    <t>8.1</t>
  </si>
  <si>
    <t>Фундаменты и подпорная стенка  объекта "Силос хранения молотого угля 200м3". В объем включены ж/б перекрытия этажерки.</t>
  </si>
  <si>
    <t>Заказчик</t>
  </si>
  <si>
    <t>60-0366-258-КЖ
60-0366-258-КЖ1</t>
  </si>
  <si>
    <t>"200m³煤粉储存料仓"基础及挡土墙。工程量含支架钢筋混凝土楼板。</t>
  </si>
  <si>
    <t>业主</t>
  </si>
  <si>
    <t>60-0366-258-KZh
60-0366-258-KZh1</t>
  </si>
  <si>
    <t>8.2</t>
  </si>
  <si>
    <t>Фундаменты объекта "Силос хранения молотого угля 100м3". В объем включены ж/б перекрытия этажерки.</t>
  </si>
  <si>
    <t>60-0366-259 -КЖ</t>
  </si>
  <si>
    <t>"100m³煤粉储存料仓"基础。工程量含支架钢筋混凝土楼板。</t>
  </si>
  <si>
    <t>60-0366-259-KZh</t>
  </si>
  <si>
    <t>8.3</t>
  </si>
  <si>
    <t xml:space="preserve">Фундаменты объекта "Сушильное отделение твердого топлива. Сушильный барабан твердого топлива". </t>
  </si>
  <si>
    <t>60-0366-083-КЖ</t>
  </si>
  <si>
    <t>"固体燃料烘干车间。固体燃料烘干机"基础。</t>
  </si>
  <si>
    <t>60-0366-083-KZh</t>
  </si>
  <si>
    <t>8.4</t>
  </si>
  <si>
    <t>Фундаменты объекта "Отделение помола твердого топлива с шаровой мельницей"</t>
  </si>
  <si>
    <t>"固体燃料粉磨车间（含球磨机）"基础</t>
  </si>
  <si>
    <t>8.5</t>
  </si>
  <si>
    <t>Фундаменты объекта" Здание рукавных фильтров сушильного отделения и отделения помола твердого топлива"</t>
  </si>
  <si>
    <t>"烘干车间与粉磨车间袋收尘器厂房"基础</t>
  </si>
  <si>
    <t>8.6</t>
  </si>
  <si>
    <t>Фундаменты объекта "Газоход подачи горячего воздуха от холодильников ПОК 1-2 в сушильное отделение твердого топлива"</t>
  </si>
  <si>
    <t>"从POK1-2冷却机至固体燃料烘干车间热风管道"基础</t>
  </si>
  <si>
    <t>8.7</t>
  </si>
  <si>
    <t>Фундаменты объекта "Пневмоподача молотого топлива в силос 200 м3 и силос 100 м3"</t>
  </si>
  <si>
    <t>"气力输送煤粉至200m³料仓和100m³料仓"基础</t>
  </si>
  <si>
    <t>8.8</t>
  </si>
  <si>
    <t>Ж/б конструкции объекта "Горячая часть печи ПОК 1-2 с комбинированными горелками"</t>
  </si>
  <si>
    <t>"POK1-2窑热端（含组合燃烧器）"钢筋混凝土结构</t>
  </si>
  <si>
    <t>8.9</t>
  </si>
  <si>
    <t>Фундаменты объекта "Газоход подачи горячего воздуха от кальцинаторов ПОК 1-3 в отделение помола твердого топлива"</t>
  </si>
  <si>
    <t>"从POK1-3分解炉至固体燃料粉磨车间热风管道"基础</t>
  </si>
  <si>
    <t>8.10</t>
  </si>
  <si>
    <t>Фундаменты объекта "Здание приемного устройства "Помол". Перегрузочная."</t>
  </si>
  <si>
    <t>60-0366-94/92/91- КЖ</t>
  </si>
  <si>
    <t>"受料装置厂房"粉磨"。转运。"基础</t>
  </si>
  <si>
    <t>60-0366-94/92/91-KZh</t>
  </si>
  <si>
    <t>8.11</t>
  </si>
  <si>
    <t>Ж/б конструкции объекта " Галерея ленточных транспортеров. Дробилка для твердого топлива"</t>
  </si>
  <si>
    <t>60-0366-089-КЖ</t>
  </si>
  <si>
    <t>"皮带输送机通廊。固体燃料破碎机"钢筋混凝土结构</t>
  </si>
  <si>
    <t>60-0366-089-KZh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</si>
  <si>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</si>
  <si>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</si>
  <si>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</si>
  <si>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</si>
  <si>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</si>
  <si>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</si>
  <si>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</si>
  <si>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</si>
  <si>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</si>
  <si>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9.</t>
  </si>
  <si>
    <t>Электромонтаж КИПиА</t>
  </si>
  <si>
    <t>9.1</t>
  </si>
  <si>
    <t>Высоковольтные шкафы, низковольтные шкафы, шкафы MCC и локальные шкафы управления,  - 100 шт</t>
  </si>
  <si>
    <t>高压柜、低压柜、MCC柜及就地控制柜，-100台</t>
  </si>
  <si>
    <t>9.2</t>
  </si>
  <si>
    <t>Прокладка кабелей, - 25 000 м.п.</t>
  </si>
  <si>
    <t>电缆敷设，-25,000延长米</t>
  </si>
  <si>
    <t>9.3</t>
  </si>
  <si>
    <t>Монтаж кабельных лотков, - 5000 м.п.</t>
  </si>
  <si>
    <t>电缆桥架安装，-5,000延长米</t>
  </si>
  <si>
    <t>9.4</t>
  </si>
  <si>
    <t>Контрольно-измерительные приборы. Включая систему автоматического управления и 1 комплект операторского пульта, - 1000 шт</t>
  </si>
  <si>
    <t>检测仪表。含自动控制系统及1套操作台，-1,000台</t>
  </si>
  <si>
    <t>9.5</t>
  </si>
  <si>
    <t>Монтаж взрывозащищённой осветительной арматуры по объектам (мельничное отделение, угольный силос 200м3 , 100 м3 , рукавных фильтров мельницы и барабана)</t>
  </si>
  <si>
    <t>各设施防爆照明灯具安装（粉磨车间、煤仓200m³、100m³、磨机和烘干机袋收尘器）</t>
  </si>
  <si>
    <t>9.6</t>
  </si>
  <si>
    <t>Монтаж кабельных галерей от 5ТП1 к зданию сушильного отделения, фильтров процесса, угольного силоса 200м3 , 100 м3.</t>
  </si>
  <si>
    <t>从5TP1至烘干车间厂房、工艺收尘器、煤仓200m³、100m³电缆桥架安装。</t>
  </si>
  <si>
    <t>9.7</t>
  </si>
  <si>
    <t xml:space="preserve">Монтаж кабельных линий сушильного отделения угля согласно проектной документации </t>
  </si>
  <si>
    <t>按照设计文件进行煤烘干车间电缆线路安装</t>
  </si>
  <si>
    <t>9.8</t>
  </si>
  <si>
    <t>Внешнее и внутреннее электроснабжение распределительной подстанции среднего напряжения</t>
  </si>
  <si>
    <t>ЭС-06.11.25</t>
  </si>
  <si>
    <t>中压配电站外部及内部供电</t>
  </si>
  <si>
    <t>ES-06.11.25</t>
  </si>
  <si>
    <t>9.9</t>
  </si>
  <si>
    <t>Внешнее и внутреннее электроснабжение приемного устройства. КТПН 5ТП2</t>
  </si>
  <si>
    <t>ЭС-17.11.25</t>
  </si>
  <si>
    <t>受料装置外部及内部供电。KTPN 5TP2</t>
  </si>
  <si>
    <t>ES-17.11.25</t>
  </si>
  <si>
    <t>9.10</t>
  </si>
  <si>
    <t>Внешнее и внутренне электроснабжение 5ТП1</t>
  </si>
  <si>
    <t>ЭС-24.11.25</t>
  </si>
  <si>
    <t>5TP1外部及内部供电</t>
  </si>
  <si>
    <t>ES-24.11.25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</si>
  <si>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</si>
  <si>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</si>
  <si>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</si>
  <si>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</si>
  <si>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</si>
  <si>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</si>
  <si>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</si>
  <si>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</si>
  <si>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</si>
  <si>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ИТОГО</t>
  </si>
  <si>
    <t>合计</t>
  </si>
  <si>
    <t>Стоимость</t>
  </si>
  <si>
    <t>造价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</si>
</sst>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[$$-409]* #,##0.00_ ;_-[$$-409]* \-#,##0.00\ ;_-[$$-409]* &quot;-&quot;??_ ;_-@_ "/>
  </numFmts>
  <fonts count="10" x14ac:knownFonts="1">
    <font>
      <sz val="11"/>
      <color theme="1"/>
      <name val="宋体"/>
      <family val="2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宋体"/>
      <family val="2"/>
      <charset val="204"/>
      <scheme val="minor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宋体"/>
      <family val="2"/>
      <charset val="204"/>
      <scheme val="minor"/>
    </font>
    <font>
      <b/>
      <sz val="11"/>
      <color theme="1"/>
      <name val="宋体"/>
      <family val="2"/>
      <charset val="20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justify" vertical="center" wrapText="1"/>
    </xf>
    <xf numFmtId="0" fontId="2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 wrapText="1"/>
    </xf>
    <xf numFmtId="176" fontId="4" fillId="5" borderId="5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49" fontId="0" fillId="4" borderId="5" xfId="0" applyNumberForma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76" fontId="0" fillId="4" borderId="5" xfId="0" applyNumberForma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76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0" borderId="6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9" sqref="E9"/>
    </sheetView>
  </sheetViews>
  <sheetFormatPr defaultRowHeight="13.5" x14ac:dyDescent="0.15"/>
  <cols>
    <col min="1" max="1" width="14.625" customWidth="1"/>
    <col min="2" max="4" width="36" customWidth="1"/>
    <col min="5" max="5" width="109.125" customWidth="1"/>
  </cols>
  <sheetData>
    <row r="1" spans="1:5" ht="16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15">
      <c r="B2" s="2" t="s">
        <v>5</v>
      </c>
      <c r="C2" s="2" t="s">
        <v>6</v>
      </c>
      <c r="D2" s="2" t="s">
        <v>7</v>
      </c>
      <c r="E2" s="2" t="s">
        <v>8</v>
      </c>
    </row>
    <row r="3" spans="1:5" ht="55.5" customHeight="1" x14ac:dyDescent="0.15">
      <c r="A3" s="3">
        <v>1</v>
      </c>
      <c r="B3" s="4" t="s">
        <v>9</v>
      </c>
      <c r="C3" s="5" t="s">
        <v>10</v>
      </c>
      <c r="D3" s="4" t="s">
        <v>11</v>
      </c>
      <c r="E3" s="4" t="s">
        <v>12</v>
      </c>
    </row>
    <row r="4" spans="1:5" ht="55.5" customHeight="1" x14ac:dyDescent="0.15">
      <c r="B4" s="4" t="s">
        <v>13</v>
      </c>
      <c r="C4" s="5" t="s">
        <v>14</v>
      </c>
      <c r="D4" s="4" t="s">
        <v>15</v>
      </c>
      <c r="E4" s="4" t="s">
        <v>16</v>
      </c>
    </row>
    <row r="5" spans="1:5" ht="55.5" customHeight="1" x14ac:dyDescent="0.15">
      <c r="A5" s="3">
        <v>2</v>
      </c>
      <c r="B5" s="4" t="s">
        <v>17</v>
      </c>
      <c r="C5" s="5" t="s">
        <v>10</v>
      </c>
      <c r="D5" s="4" t="s">
        <v>11</v>
      </c>
      <c r="E5" s="4" t="s">
        <v>18</v>
      </c>
    </row>
    <row r="6" spans="1:5" ht="55.5" customHeight="1" x14ac:dyDescent="0.15">
      <c r="B6" s="4" t="s">
        <v>19</v>
      </c>
      <c r="C6" s="5" t="s">
        <v>14</v>
      </c>
      <c r="D6" s="4" t="s">
        <v>15</v>
      </c>
      <c r="E6" s="4" t="s">
        <v>20</v>
      </c>
    </row>
    <row r="7" spans="1:5" ht="55.5" customHeight="1" x14ac:dyDescent="0.15">
      <c r="A7" s="6">
        <v>3</v>
      </c>
      <c r="B7" s="7" t="s">
        <v>21</v>
      </c>
      <c r="C7" s="8" t="s">
        <v>10</v>
      </c>
      <c r="D7" s="7" t="s">
        <v>11</v>
      </c>
      <c r="E7" s="7" t="s">
        <v>22</v>
      </c>
    </row>
    <row r="8" spans="1:5" ht="55.5" customHeight="1" x14ac:dyDescent="0.15">
      <c r="B8" s="7" t="s">
        <v>23</v>
      </c>
      <c r="C8" s="8" t="s">
        <v>14</v>
      </c>
      <c r="D8" s="7" t="s">
        <v>15</v>
      </c>
      <c r="E8" s="7" t="s">
        <v>24</v>
      </c>
    </row>
    <row r="9" spans="1:5" ht="55.5" customHeight="1" x14ac:dyDescent="0.15">
      <c r="A9" s="3">
        <v>4</v>
      </c>
      <c r="B9" s="4" t="s">
        <v>25</v>
      </c>
      <c r="C9" s="5" t="s">
        <v>26</v>
      </c>
      <c r="D9" s="4" t="s">
        <v>27</v>
      </c>
      <c r="E9" s="4" t="s">
        <v>28</v>
      </c>
    </row>
    <row r="10" spans="1:5" ht="55.5" customHeight="1" x14ac:dyDescent="0.15">
      <c r="B10" s="4" t="s">
        <v>29</v>
      </c>
      <c r="C10" s="5" t="s">
        <v>30</v>
      </c>
      <c r="D10" s="4" t="s">
        <v>31</v>
      </c>
      <c r="E10" s="4" t="s">
        <v>32</v>
      </c>
    </row>
    <row r="11" spans="1:5" ht="55.5" customHeight="1" x14ac:dyDescent="0.15">
      <c r="A11" s="3">
        <v>5</v>
      </c>
      <c r="B11" s="4" t="s">
        <v>33</v>
      </c>
      <c r="C11" s="5" t="s">
        <v>10</v>
      </c>
      <c r="D11" s="4" t="s">
        <v>34</v>
      </c>
      <c r="E11" s="4" t="s">
        <v>35</v>
      </c>
    </row>
    <row r="12" spans="1:5" ht="55.5" customHeight="1" x14ac:dyDescent="0.15">
      <c r="B12" s="4" t="s">
        <v>36</v>
      </c>
      <c r="C12" s="5" t="s">
        <v>14</v>
      </c>
      <c r="D12" s="4" t="s">
        <v>37</v>
      </c>
      <c r="E12" s="4" t="s">
        <v>38</v>
      </c>
    </row>
    <row r="13" spans="1:5" ht="55.5" customHeight="1" x14ac:dyDescent="0.15">
      <c r="A13" s="3">
        <v>6</v>
      </c>
      <c r="B13" s="4" t="s">
        <v>39</v>
      </c>
      <c r="C13" s="5" t="s">
        <v>40</v>
      </c>
      <c r="D13" s="4" t="s">
        <v>41</v>
      </c>
      <c r="E13" s="4" t="s">
        <v>42</v>
      </c>
    </row>
    <row r="14" spans="1:5" ht="55.5" customHeight="1" x14ac:dyDescent="0.15">
      <c r="B14" s="4" t="s">
        <v>43</v>
      </c>
      <c r="C14" s="5" t="s">
        <v>44</v>
      </c>
      <c r="D14" s="4" t="s">
        <v>45</v>
      </c>
      <c r="E14" s="4" t="s">
        <v>46</v>
      </c>
    </row>
    <row r="15" spans="1:5" ht="55.5" customHeight="1" x14ac:dyDescent="0.15">
      <c r="A15" s="6">
        <v>7</v>
      </c>
      <c r="B15" s="7" t="s">
        <v>47</v>
      </c>
      <c r="C15" s="8" t="s">
        <v>48</v>
      </c>
      <c r="D15" s="7" t="s">
        <v>41</v>
      </c>
      <c r="E15" s="7" t="s">
        <v>49</v>
      </c>
    </row>
    <row r="16" spans="1:5" ht="55.5" customHeight="1" x14ac:dyDescent="0.15">
      <c r="B16" s="7" t="s">
        <v>50</v>
      </c>
      <c r="D16" s="7" t="s">
        <v>45</v>
      </c>
      <c r="E16" s="7" t="s">
        <v>51</v>
      </c>
    </row>
    <row r="17" spans="1:5" ht="55.5" customHeight="1" x14ac:dyDescent="0.15">
      <c r="A17" s="3">
        <v>8</v>
      </c>
      <c r="B17" s="4" t="s">
        <v>52</v>
      </c>
      <c r="C17" s="5" t="s">
        <v>26</v>
      </c>
      <c r="D17" s="4" t="s">
        <v>11</v>
      </c>
      <c r="E17" s="4" t="s">
        <v>53</v>
      </c>
    </row>
    <row r="18" spans="1:5" ht="55.5" customHeight="1" x14ac:dyDescent="0.15">
      <c r="B18" s="4" t="s">
        <v>54</v>
      </c>
      <c r="C18" s="5" t="s">
        <v>30</v>
      </c>
      <c r="D18" s="4" t="s">
        <v>15</v>
      </c>
      <c r="E18" s="4" t="s">
        <v>55</v>
      </c>
    </row>
    <row r="19" spans="1:5" ht="55.5" customHeight="1" x14ac:dyDescent="0.15">
      <c r="A19" s="3">
        <v>9</v>
      </c>
      <c r="B19" s="4" t="s">
        <v>56</v>
      </c>
      <c r="C19" s="5" t="s">
        <v>57</v>
      </c>
      <c r="D19" s="4" t="s">
        <v>11</v>
      </c>
      <c r="E19" s="4" t="s">
        <v>58</v>
      </c>
    </row>
    <row r="20" spans="1:5" ht="55.5" customHeight="1" x14ac:dyDescent="0.15">
      <c r="B20" s="4" t="s">
        <v>59</v>
      </c>
      <c r="C20" s="5" t="s">
        <v>60</v>
      </c>
      <c r="D20" s="4" t="s">
        <v>15</v>
      </c>
      <c r="E20" s="4" t="s">
        <v>61</v>
      </c>
    </row>
    <row r="21" spans="1:5" ht="55.5" customHeight="1" x14ac:dyDescent="0.15"/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8"/>
  <sheetViews>
    <sheetView tabSelected="1" topLeftCell="A22" workbookViewId="0">
      <selection activeCell="H29" sqref="H29"/>
    </sheetView>
  </sheetViews>
  <sheetFormatPr defaultRowHeight="13.5" x14ac:dyDescent="0.15"/>
  <cols>
    <col min="1" max="1" width="7.875" customWidth="1"/>
    <col min="2" max="2" width="18" customWidth="1"/>
    <col min="3" max="3" width="53" customWidth="1"/>
    <col min="4" max="4" width="20.25" customWidth="1"/>
    <col min="5" max="5" width="21.375" customWidth="1"/>
    <col min="6" max="6" width="9.125" customWidth="1"/>
    <col min="8" max="8" width="27.625" customWidth="1"/>
    <col min="9" max="9" width="15" customWidth="1"/>
    <col min="10" max="10" width="18.125" customWidth="1"/>
    <col min="11" max="11" width="9.125" customWidth="1"/>
  </cols>
  <sheetData>
    <row r="1" spans="1:10" ht="31.5" customHeight="1" x14ac:dyDescent="0.15">
      <c r="A1" s="9" t="s">
        <v>0</v>
      </c>
      <c r="B1" s="9" t="s">
        <v>62</v>
      </c>
      <c r="C1" s="10" t="s">
        <v>63</v>
      </c>
      <c r="D1" s="9" t="s">
        <v>64</v>
      </c>
      <c r="E1" s="9" t="s">
        <v>65</v>
      </c>
      <c r="F1" s="43" t="s">
        <v>66</v>
      </c>
      <c r="G1" s="44"/>
      <c r="H1" s="9" t="s">
        <v>67</v>
      </c>
      <c r="I1" s="9" t="s">
        <v>68</v>
      </c>
      <c r="J1" s="9" t="s">
        <v>69</v>
      </c>
    </row>
    <row r="2" spans="1:10" ht="15.75" x14ac:dyDescent="0.15">
      <c r="B2" s="9" t="s">
        <v>70</v>
      </c>
      <c r="C2" s="10" t="s">
        <v>71</v>
      </c>
      <c r="D2" s="9" t="s">
        <v>72</v>
      </c>
      <c r="E2" s="9" t="s">
        <v>5</v>
      </c>
      <c r="F2" s="9" t="s">
        <v>73</v>
      </c>
      <c r="H2" s="9" t="s">
        <v>74</v>
      </c>
      <c r="I2" s="9" t="s">
        <v>75</v>
      </c>
      <c r="J2" s="9" t="s">
        <v>76</v>
      </c>
    </row>
    <row r="3" spans="1:10" ht="15.75" customHeight="1" x14ac:dyDescent="0.15">
      <c r="A3" s="9"/>
      <c r="B3" s="9"/>
      <c r="C3" s="10"/>
      <c r="D3" s="9"/>
      <c r="E3" s="9"/>
      <c r="F3" s="9" t="s">
        <v>77</v>
      </c>
      <c r="G3" s="9" t="s">
        <v>78</v>
      </c>
      <c r="H3" s="9"/>
      <c r="I3" s="9"/>
      <c r="J3" s="9"/>
    </row>
    <row r="4" spans="1:10" ht="15.75" x14ac:dyDescent="0.15">
      <c r="F4" s="9" t="s">
        <v>79</v>
      </c>
      <c r="G4" s="9" t="s">
        <v>80</v>
      </c>
    </row>
    <row r="5" spans="1:10" ht="15.75" customHeight="1" x14ac:dyDescent="0.15">
      <c r="A5" s="11">
        <v>1</v>
      </c>
      <c r="B5" s="11"/>
      <c r="C5" s="12">
        <v>2</v>
      </c>
      <c r="D5" s="11">
        <v>3</v>
      </c>
      <c r="E5" s="11">
        <v>4</v>
      </c>
      <c r="F5" s="11">
        <v>5</v>
      </c>
      <c r="G5" s="11">
        <v>6</v>
      </c>
      <c r="H5" s="11">
        <v>7</v>
      </c>
      <c r="I5" s="13">
        <v>8</v>
      </c>
      <c r="J5" s="13">
        <v>9</v>
      </c>
    </row>
    <row r="6" spans="1:10" ht="18.75" customHeight="1" x14ac:dyDescent="0.15">
      <c r="A6" s="14" t="s">
        <v>81</v>
      </c>
      <c r="B6" s="15" t="s">
        <v>82</v>
      </c>
      <c r="C6" s="15"/>
      <c r="D6" s="16"/>
      <c r="E6" s="16"/>
      <c r="F6" s="14" t="s">
        <v>10</v>
      </c>
      <c r="G6" s="17">
        <f>SUM(G8:G358)</f>
        <v>473.08000000000021</v>
      </c>
      <c r="H6" s="14"/>
      <c r="I6" s="18"/>
      <c r="J6" s="18">
        <f>SUM(J8:J358)</f>
        <v>0</v>
      </c>
    </row>
    <row r="7" spans="1:10" ht="18.75" x14ac:dyDescent="0.15">
      <c r="B7" s="15" t="s">
        <v>83</v>
      </c>
      <c r="F7" s="14"/>
    </row>
    <row r="8" spans="1:10" ht="30" customHeight="1" x14ac:dyDescent="0.15">
      <c r="A8" s="19" t="s">
        <v>84</v>
      </c>
      <c r="B8" s="20" t="s">
        <v>85</v>
      </c>
      <c r="C8" s="20" t="s">
        <v>86</v>
      </c>
      <c r="D8" s="13" t="s">
        <v>87</v>
      </c>
      <c r="E8" s="13" t="s">
        <v>9</v>
      </c>
      <c r="F8" s="21" t="str">
        <f>VLOOKUP($E8,'Приложение 4'!$B$3:$C$19,2,FALSE)</f>
        <v>т</v>
      </c>
      <c r="G8" s="21">
        <v>2.2000000000000002</v>
      </c>
      <c r="H8" s="13"/>
      <c r="I8" s="22">
        <v>0</v>
      </c>
      <c r="J8" s="22">
        <f>G8*I8</f>
        <v>0</v>
      </c>
    </row>
    <row r="9" spans="1:10" x14ac:dyDescent="0.15">
      <c r="C9" s="20" t="s">
        <v>88</v>
      </c>
      <c r="D9" s="13" t="s">
        <v>89</v>
      </c>
      <c r="E9" s="13" t="s">
        <v>13</v>
      </c>
    </row>
    <row r="10" spans="1:10" ht="30" customHeight="1" x14ac:dyDescent="0.15">
      <c r="A10" s="19" t="s">
        <v>90</v>
      </c>
      <c r="B10" s="20" t="s">
        <v>91</v>
      </c>
      <c r="C10" s="20" t="s">
        <v>92</v>
      </c>
      <c r="D10" s="13" t="s">
        <v>87</v>
      </c>
      <c r="E10" s="13" t="s">
        <v>9</v>
      </c>
      <c r="F10" s="21" t="str">
        <f>VLOOKUP($E10,'Приложение 4'!$B$3:$C$19,2,FALSE)</f>
        <v>т</v>
      </c>
      <c r="G10" s="21">
        <v>2.2000000000000002</v>
      </c>
      <c r="H10" s="13"/>
      <c r="I10" s="22">
        <v>0</v>
      </c>
      <c r="J10" s="22">
        <f>G10*I10</f>
        <v>0</v>
      </c>
    </row>
    <row r="11" spans="1:10" x14ac:dyDescent="0.15">
      <c r="C11" s="20" t="s">
        <v>93</v>
      </c>
      <c r="D11" s="13" t="s">
        <v>89</v>
      </c>
      <c r="E11" s="13" t="s">
        <v>13</v>
      </c>
    </row>
    <row r="12" spans="1:10" ht="30" customHeight="1" x14ac:dyDescent="0.15">
      <c r="A12" s="19" t="s">
        <v>94</v>
      </c>
      <c r="B12" s="20" t="s">
        <v>95</v>
      </c>
      <c r="C12" s="20" t="s">
        <v>96</v>
      </c>
      <c r="D12" s="13" t="s">
        <v>87</v>
      </c>
      <c r="E12" s="13" t="s">
        <v>9</v>
      </c>
      <c r="F12" s="21" t="str">
        <f>VLOOKUP($E12,'Приложение 4'!$B$3:$C$19,2,FALSE)</f>
        <v>т</v>
      </c>
      <c r="G12" s="21">
        <v>2.2000000000000002</v>
      </c>
      <c r="H12" s="13"/>
      <c r="I12" s="22">
        <v>0</v>
      </c>
      <c r="J12" s="22">
        <f>G12*I12</f>
        <v>0</v>
      </c>
    </row>
    <row r="13" spans="1:10" x14ac:dyDescent="0.15">
      <c r="C13" s="20" t="s">
        <v>97</v>
      </c>
      <c r="D13" s="13" t="s">
        <v>89</v>
      </c>
      <c r="E13" s="13" t="s">
        <v>13</v>
      </c>
    </row>
    <row r="14" spans="1:10" ht="30" customHeight="1" x14ac:dyDescent="0.15">
      <c r="A14" s="19" t="s">
        <v>98</v>
      </c>
      <c r="B14" s="20" t="s">
        <v>99</v>
      </c>
      <c r="C14" s="20" t="s">
        <v>100</v>
      </c>
      <c r="D14" s="13" t="s">
        <v>87</v>
      </c>
      <c r="E14" s="13" t="s">
        <v>9</v>
      </c>
      <c r="F14" s="21" t="str">
        <f>VLOOKUP($E14,'Приложение 4'!$B$3:$C$19,2,FALSE)</f>
        <v>т</v>
      </c>
      <c r="G14" s="21">
        <v>0.8</v>
      </c>
      <c r="H14" s="13"/>
      <c r="I14" s="22">
        <v>0</v>
      </c>
      <c r="J14" s="22">
        <f>G14*I14</f>
        <v>0</v>
      </c>
    </row>
    <row r="15" spans="1:10" x14ac:dyDescent="0.15">
      <c r="C15" s="20" t="s">
        <v>101</v>
      </c>
      <c r="D15" s="13" t="s">
        <v>89</v>
      </c>
      <c r="E15" s="13" t="s">
        <v>13</v>
      </c>
    </row>
    <row r="16" spans="1:10" ht="30" customHeight="1" x14ac:dyDescent="0.15">
      <c r="A16" s="19" t="s">
        <v>102</v>
      </c>
      <c r="B16" s="20" t="s">
        <v>103</v>
      </c>
      <c r="C16" s="20" t="s">
        <v>104</v>
      </c>
      <c r="D16" s="13" t="s">
        <v>87</v>
      </c>
      <c r="E16" s="13" t="s">
        <v>9</v>
      </c>
      <c r="F16" s="21" t="str">
        <f>VLOOKUP($E16,'Приложение 4'!$B$3:$C$19,2,FALSE)</f>
        <v>т</v>
      </c>
      <c r="G16" s="21">
        <v>10</v>
      </c>
      <c r="H16" s="13"/>
      <c r="I16" s="22">
        <v>0</v>
      </c>
      <c r="J16" s="22">
        <f>G16*I16</f>
        <v>0</v>
      </c>
    </row>
    <row r="17" spans="1:10" x14ac:dyDescent="0.15">
      <c r="C17" s="20" t="s">
        <v>105</v>
      </c>
      <c r="D17" s="13" t="s">
        <v>89</v>
      </c>
      <c r="E17" s="13" t="s">
        <v>13</v>
      </c>
    </row>
    <row r="18" spans="1:10" ht="30" customHeight="1" x14ac:dyDescent="0.15">
      <c r="A18" s="19" t="s">
        <v>106</v>
      </c>
      <c r="B18" s="20" t="s">
        <v>107</v>
      </c>
      <c r="C18" s="20" t="s">
        <v>108</v>
      </c>
      <c r="D18" s="13" t="s">
        <v>87</v>
      </c>
      <c r="E18" s="13" t="s">
        <v>9</v>
      </c>
      <c r="F18" s="21" t="str">
        <f>VLOOKUP($E18,'Приложение 4'!$B$3:$C$19,2,FALSE)</f>
        <v>т</v>
      </c>
      <c r="G18" s="21">
        <v>1.2</v>
      </c>
      <c r="H18" s="13"/>
      <c r="I18" s="22">
        <v>0</v>
      </c>
      <c r="J18" s="22">
        <f>G18*I18</f>
        <v>0</v>
      </c>
    </row>
    <row r="19" spans="1:10" x14ac:dyDescent="0.15">
      <c r="C19" s="20" t="s">
        <v>109</v>
      </c>
      <c r="D19" s="13" t="s">
        <v>89</v>
      </c>
      <c r="E19" s="13" t="s">
        <v>13</v>
      </c>
    </row>
    <row r="20" spans="1:10" ht="30" customHeight="1" x14ac:dyDescent="0.15">
      <c r="A20" s="19" t="s">
        <v>110</v>
      </c>
      <c r="B20" s="20" t="s">
        <v>111</v>
      </c>
      <c r="C20" s="20" t="s">
        <v>112</v>
      </c>
      <c r="D20" s="13" t="s">
        <v>87</v>
      </c>
      <c r="E20" s="13" t="s">
        <v>9</v>
      </c>
      <c r="F20" s="21" t="str">
        <f>VLOOKUP($E20,'Приложение 4'!$B$3:$C$19,2,FALSE)</f>
        <v>т</v>
      </c>
      <c r="G20" s="21">
        <v>0.2</v>
      </c>
      <c r="H20" s="13"/>
      <c r="I20" s="22">
        <v>0</v>
      </c>
      <c r="J20" s="22">
        <f>G20*I20</f>
        <v>0</v>
      </c>
    </row>
    <row r="21" spans="1:10" x14ac:dyDescent="0.15">
      <c r="C21" s="20" t="s">
        <v>113</v>
      </c>
      <c r="D21" s="13" t="s">
        <v>89</v>
      </c>
      <c r="E21" s="13" t="s">
        <v>13</v>
      </c>
    </row>
    <row r="22" spans="1:10" ht="30" customHeight="1" x14ac:dyDescent="0.15">
      <c r="A22" s="19" t="s">
        <v>114</v>
      </c>
      <c r="B22" s="20" t="s">
        <v>115</v>
      </c>
      <c r="C22" s="20" t="s">
        <v>116</v>
      </c>
      <c r="D22" s="13" t="s">
        <v>87</v>
      </c>
      <c r="E22" s="13" t="s">
        <v>9</v>
      </c>
      <c r="F22" s="21" t="str">
        <f>VLOOKUP($E22,'Приложение 4'!$B$3:$C$19,2,FALSE)</f>
        <v>т</v>
      </c>
      <c r="G22" s="21">
        <v>0.8</v>
      </c>
      <c r="H22" s="13"/>
      <c r="I22" s="22">
        <v>0</v>
      </c>
      <c r="J22" s="22">
        <f>G22*I22</f>
        <v>0</v>
      </c>
    </row>
    <row r="23" spans="1:10" x14ac:dyDescent="0.15">
      <c r="C23" s="20" t="s">
        <v>117</v>
      </c>
      <c r="D23" s="13" t="s">
        <v>89</v>
      </c>
      <c r="E23" s="13" t="s">
        <v>13</v>
      </c>
    </row>
    <row r="24" spans="1:10" ht="30" customHeight="1" x14ac:dyDescent="0.15">
      <c r="A24" s="19" t="s">
        <v>118</v>
      </c>
      <c r="B24" s="20" t="s">
        <v>119</v>
      </c>
      <c r="C24" s="20" t="s">
        <v>120</v>
      </c>
      <c r="D24" s="13" t="s">
        <v>87</v>
      </c>
      <c r="E24" s="13" t="s">
        <v>9</v>
      </c>
      <c r="F24" s="21" t="str">
        <f>VLOOKUP($E24,'Приложение 4'!$B$3:$C$19,2,FALSE)</f>
        <v>т</v>
      </c>
      <c r="G24" s="21">
        <v>6.5</v>
      </c>
      <c r="H24" s="13"/>
      <c r="I24" s="22">
        <v>0</v>
      </c>
      <c r="J24" s="22">
        <f>G24*I24</f>
        <v>0</v>
      </c>
    </row>
    <row r="25" spans="1:10" x14ac:dyDescent="0.15">
      <c r="C25" s="20" t="s">
        <v>121</v>
      </c>
      <c r="D25" s="13" t="s">
        <v>89</v>
      </c>
      <c r="E25" s="13" t="s">
        <v>13</v>
      </c>
    </row>
    <row r="26" spans="1:10" ht="30" customHeight="1" x14ac:dyDescent="0.15">
      <c r="A26" s="19" t="s">
        <v>122</v>
      </c>
      <c r="B26" s="20" t="s">
        <v>123</v>
      </c>
      <c r="C26" s="20" t="s">
        <v>124</v>
      </c>
      <c r="D26" s="13" t="s">
        <v>87</v>
      </c>
      <c r="E26" s="13" t="s">
        <v>9</v>
      </c>
      <c r="F26" s="21" t="str">
        <f>VLOOKUP($E26,'Приложение 4'!$B$3:$C$19,2,FALSE)</f>
        <v>т</v>
      </c>
      <c r="G26" s="21">
        <v>0.8</v>
      </c>
      <c r="H26" s="13"/>
      <c r="I26" s="22">
        <v>0</v>
      </c>
      <c r="J26" s="22">
        <f>G26*I26</f>
        <v>0</v>
      </c>
    </row>
    <row r="27" spans="1:10" x14ac:dyDescent="0.15">
      <c r="C27" s="20" t="s">
        <v>125</v>
      </c>
      <c r="D27" s="13" t="s">
        <v>89</v>
      </c>
      <c r="E27" s="13" t="s">
        <v>13</v>
      </c>
    </row>
    <row r="28" spans="1:10" ht="30" customHeight="1" x14ac:dyDescent="0.15">
      <c r="A28" s="19" t="s">
        <v>126</v>
      </c>
      <c r="B28" s="20" t="s">
        <v>127</v>
      </c>
      <c r="C28" s="20" t="s">
        <v>128</v>
      </c>
      <c r="D28" s="13" t="s">
        <v>87</v>
      </c>
      <c r="E28" s="13" t="s">
        <v>9</v>
      </c>
      <c r="F28" s="21" t="str">
        <f>VLOOKUP($E28,'Приложение 4'!$B$3:$C$19,2,FALSE)</f>
        <v>т</v>
      </c>
      <c r="G28" s="21">
        <v>0.8</v>
      </c>
      <c r="H28" s="13"/>
      <c r="I28" s="22">
        <v>0</v>
      </c>
      <c r="J28" s="22">
        <f>G28*I28</f>
        <v>0</v>
      </c>
    </row>
    <row r="29" spans="1:10" x14ac:dyDescent="0.15">
      <c r="C29" s="20" t="s">
        <v>125</v>
      </c>
      <c r="D29" s="13" t="s">
        <v>89</v>
      </c>
      <c r="E29" s="13" t="s">
        <v>13</v>
      </c>
    </row>
    <row r="30" spans="1:10" ht="30" customHeight="1" x14ac:dyDescent="0.15">
      <c r="A30" s="19" t="s">
        <v>129</v>
      </c>
      <c r="B30" s="20" t="s">
        <v>130</v>
      </c>
      <c r="C30" s="20" t="s">
        <v>131</v>
      </c>
      <c r="D30" s="13" t="s">
        <v>87</v>
      </c>
      <c r="E30" s="13" t="s">
        <v>9</v>
      </c>
      <c r="F30" s="21" t="str">
        <f>VLOOKUP($E30,'Приложение 4'!$B$3:$C$19,2,FALSE)</f>
        <v>т</v>
      </c>
      <c r="G30" s="21">
        <v>0.8</v>
      </c>
      <c r="H30" s="13"/>
      <c r="I30" s="22">
        <v>0</v>
      </c>
      <c r="J30" s="22">
        <f>G30*I30</f>
        <v>0</v>
      </c>
    </row>
    <row r="31" spans="1:10" x14ac:dyDescent="0.15">
      <c r="C31" s="20" t="s">
        <v>132</v>
      </c>
      <c r="D31" s="13" t="s">
        <v>89</v>
      </c>
      <c r="E31" s="13" t="s">
        <v>13</v>
      </c>
    </row>
    <row r="32" spans="1:10" ht="30" customHeight="1" x14ac:dyDescent="0.15">
      <c r="A32" s="19" t="s">
        <v>133</v>
      </c>
      <c r="B32" s="20" t="s">
        <v>134</v>
      </c>
      <c r="C32" s="20" t="s">
        <v>135</v>
      </c>
      <c r="D32" s="13" t="s">
        <v>87</v>
      </c>
      <c r="E32" s="13" t="s">
        <v>9</v>
      </c>
      <c r="F32" s="21" t="str">
        <f>VLOOKUP($E32,'Приложение 4'!$B$3:$C$19,2,FALSE)</f>
        <v>т</v>
      </c>
      <c r="G32" s="21">
        <v>3.5</v>
      </c>
      <c r="H32" s="13"/>
      <c r="I32" s="22">
        <v>0</v>
      </c>
      <c r="J32" s="22">
        <f>G32*I32</f>
        <v>0</v>
      </c>
    </row>
    <row r="33" spans="1:10" x14ac:dyDescent="0.15">
      <c r="C33" s="20" t="s">
        <v>136</v>
      </c>
      <c r="D33" s="13" t="s">
        <v>89</v>
      </c>
      <c r="E33" s="13" t="s">
        <v>13</v>
      </c>
    </row>
    <row r="34" spans="1:10" ht="30" customHeight="1" x14ac:dyDescent="0.15">
      <c r="A34" s="19" t="s">
        <v>137</v>
      </c>
      <c r="B34" s="20" t="s">
        <v>138</v>
      </c>
      <c r="C34" s="20" t="s">
        <v>139</v>
      </c>
      <c r="D34" s="13" t="s">
        <v>87</v>
      </c>
      <c r="E34" s="13" t="s">
        <v>9</v>
      </c>
      <c r="F34" s="21" t="str">
        <f>VLOOKUP($E34,'Приложение 4'!$B$3:$C$19,2,FALSE)</f>
        <v>т</v>
      </c>
      <c r="G34" s="21">
        <v>0</v>
      </c>
      <c r="H34" s="13"/>
      <c r="I34" s="22">
        <v>0</v>
      </c>
      <c r="J34" s="22">
        <f>G34*I34</f>
        <v>0</v>
      </c>
    </row>
    <row r="35" spans="1:10" x14ac:dyDescent="0.15">
      <c r="C35" s="20" t="s">
        <v>140</v>
      </c>
      <c r="D35" s="13" t="s">
        <v>89</v>
      </c>
      <c r="E35" s="13" t="s">
        <v>13</v>
      </c>
    </row>
    <row r="36" spans="1:10" ht="60" customHeight="1" x14ac:dyDescent="0.15">
      <c r="A36" s="23" t="s">
        <v>141</v>
      </c>
      <c r="B36" s="24" t="s">
        <v>142</v>
      </c>
      <c r="C36" s="24" t="s">
        <v>143</v>
      </c>
      <c r="D36" s="25" t="s">
        <v>87</v>
      </c>
      <c r="E36" s="25" t="s">
        <v>9</v>
      </c>
      <c r="F36" s="26" t="str">
        <f>VLOOKUP($E36,'Приложение 4'!$B$3:$C$19,2,FALSE)</f>
        <v>т</v>
      </c>
      <c r="G36" s="26"/>
      <c r="H36" s="25"/>
      <c r="I36" s="27">
        <v>0</v>
      </c>
      <c r="J36" s="27">
        <f>G36*I36</f>
        <v>0</v>
      </c>
    </row>
    <row r="37" spans="1:10" ht="27" x14ac:dyDescent="0.15">
      <c r="C37" s="24" t="s">
        <v>144</v>
      </c>
      <c r="D37" s="25" t="s">
        <v>89</v>
      </c>
      <c r="E37" s="25" t="s">
        <v>13</v>
      </c>
    </row>
    <row r="38" spans="1:10" ht="30" customHeight="1" x14ac:dyDescent="0.15">
      <c r="A38" s="19" t="s">
        <v>145</v>
      </c>
      <c r="B38" s="20" t="s">
        <v>146</v>
      </c>
      <c r="C38" s="20" t="s">
        <v>147</v>
      </c>
      <c r="D38" s="13" t="s">
        <v>87</v>
      </c>
      <c r="E38" s="13" t="s">
        <v>9</v>
      </c>
      <c r="F38" s="21" t="str">
        <f>VLOOKUP($E38,'Приложение 4'!$B$3:$C$19,2,FALSE)</f>
        <v>т</v>
      </c>
      <c r="G38" s="21">
        <v>0.2</v>
      </c>
      <c r="H38" s="13"/>
      <c r="I38" s="22">
        <v>0</v>
      </c>
      <c r="J38" s="22">
        <f>G38*I38</f>
        <v>0</v>
      </c>
    </row>
    <row r="39" spans="1:10" x14ac:dyDescent="0.15">
      <c r="C39" s="20" t="s">
        <v>148</v>
      </c>
      <c r="D39" s="13" t="s">
        <v>89</v>
      </c>
      <c r="E39" s="13" t="s">
        <v>13</v>
      </c>
    </row>
    <row r="40" spans="1:10" ht="30" customHeight="1" x14ac:dyDescent="0.15">
      <c r="A40" s="19" t="s">
        <v>149</v>
      </c>
      <c r="B40" s="20" t="s">
        <v>150</v>
      </c>
      <c r="C40" s="20" t="s">
        <v>151</v>
      </c>
      <c r="D40" s="13" t="s">
        <v>87</v>
      </c>
      <c r="E40" s="13" t="s">
        <v>9</v>
      </c>
      <c r="F40" s="21" t="str">
        <f>VLOOKUP($E40,'Приложение 4'!$B$3:$C$19,2,FALSE)</f>
        <v>т</v>
      </c>
      <c r="G40" s="21">
        <v>0</v>
      </c>
      <c r="H40" s="13"/>
      <c r="I40" s="22">
        <v>0</v>
      </c>
      <c r="J40" s="22">
        <f>G40*I40</f>
        <v>0</v>
      </c>
    </row>
    <row r="41" spans="1:10" x14ac:dyDescent="0.15">
      <c r="C41" s="20" t="s">
        <v>152</v>
      </c>
      <c r="D41" s="13" t="s">
        <v>89</v>
      </c>
      <c r="E41" s="13" t="s">
        <v>13</v>
      </c>
    </row>
    <row r="42" spans="1:10" ht="30" customHeight="1" x14ac:dyDescent="0.15">
      <c r="A42" s="19" t="s">
        <v>153</v>
      </c>
      <c r="B42" s="20" t="s">
        <v>154</v>
      </c>
      <c r="C42" s="20" t="s">
        <v>155</v>
      </c>
      <c r="D42" s="13" t="s">
        <v>87</v>
      </c>
      <c r="E42" s="13" t="s">
        <v>9</v>
      </c>
      <c r="F42" s="21" t="str">
        <f>VLOOKUP($E42,'Приложение 4'!$B$3:$C$19,2,FALSE)</f>
        <v>т</v>
      </c>
      <c r="G42" s="21">
        <v>1</v>
      </c>
      <c r="H42" s="13"/>
      <c r="I42" s="22">
        <v>0</v>
      </c>
      <c r="J42" s="22">
        <f>G42*I42</f>
        <v>0</v>
      </c>
    </row>
    <row r="43" spans="1:10" x14ac:dyDescent="0.15">
      <c r="C43" s="20" t="s">
        <v>156</v>
      </c>
      <c r="D43" s="13" t="s">
        <v>89</v>
      </c>
      <c r="E43" s="13" t="s">
        <v>13</v>
      </c>
    </row>
    <row r="44" spans="1:10" ht="30" customHeight="1" x14ac:dyDescent="0.15">
      <c r="A44" s="19" t="s">
        <v>157</v>
      </c>
      <c r="B44" s="20" t="s">
        <v>158</v>
      </c>
      <c r="C44" s="20" t="s">
        <v>159</v>
      </c>
      <c r="D44" s="13" t="s">
        <v>87</v>
      </c>
      <c r="E44" s="13" t="s">
        <v>9</v>
      </c>
      <c r="F44" s="21" t="str">
        <f>VLOOKUP($E44,'Приложение 4'!$B$3:$C$19,2,FALSE)</f>
        <v>т</v>
      </c>
      <c r="G44" s="21">
        <v>0.7</v>
      </c>
      <c r="H44" s="13"/>
      <c r="I44" s="22">
        <v>0</v>
      </c>
      <c r="J44" s="22">
        <f>G44*I44</f>
        <v>0</v>
      </c>
    </row>
    <row r="45" spans="1:10" x14ac:dyDescent="0.15">
      <c r="C45" s="20" t="s">
        <v>160</v>
      </c>
      <c r="D45" s="13" t="s">
        <v>89</v>
      </c>
      <c r="E45" s="13" t="s">
        <v>13</v>
      </c>
    </row>
    <row r="46" spans="1:10" ht="30" customHeight="1" x14ac:dyDescent="0.15">
      <c r="A46" s="19" t="s">
        <v>161</v>
      </c>
      <c r="B46" s="20" t="s">
        <v>162</v>
      </c>
      <c r="C46" s="20" t="s">
        <v>163</v>
      </c>
      <c r="D46" s="13" t="s">
        <v>87</v>
      </c>
      <c r="E46" s="13" t="s">
        <v>9</v>
      </c>
      <c r="F46" s="21" t="str">
        <f>VLOOKUP($E46,'Приложение 4'!$B$3:$C$19,2,FALSE)</f>
        <v>т</v>
      </c>
      <c r="G46" s="21">
        <v>0</v>
      </c>
      <c r="H46" s="13"/>
      <c r="I46" s="22">
        <v>0</v>
      </c>
      <c r="J46" s="22">
        <f>G46*I46</f>
        <v>0</v>
      </c>
    </row>
    <row r="47" spans="1:10" x14ac:dyDescent="0.15">
      <c r="C47" s="20" t="s">
        <v>164</v>
      </c>
      <c r="D47" s="13" t="s">
        <v>89</v>
      </c>
      <c r="E47" s="13" t="s">
        <v>13</v>
      </c>
    </row>
    <row r="48" spans="1:10" ht="45" customHeight="1" x14ac:dyDescent="0.15">
      <c r="A48" s="23" t="s">
        <v>165</v>
      </c>
      <c r="B48" s="24" t="s">
        <v>166</v>
      </c>
      <c r="C48" s="24" t="s">
        <v>167</v>
      </c>
      <c r="D48" s="25" t="s">
        <v>87</v>
      </c>
      <c r="E48" s="25" t="s">
        <v>9</v>
      </c>
      <c r="F48" s="26" t="str">
        <f>VLOOKUP($E48,'Приложение 4'!$B$3:$C$19,2,FALSE)</f>
        <v>т</v>
      </c>
      <c r="G48" s="26"/>
      <c r="H48" s="25"/>
      <c r="I48" s="27">
        <v>0</v>
      </c>
      <c r="J48" s="27">
        <f>G48*I48</f>
        <v>0</v>
      </c>
    </row>
    <row r="49" spans="1:10" ht="27" x14ac:dyDescent="0.15">
      <c r="C49" s="24" t="s">
        <v>168</v>
      </c>
      <c r="D49" s="25" t="s">
        <v>89</v>
      </c>
      <c r="E49" s="25" t="s">
        <v>13</v>
      </c>
    </row>
    <row r="50" spans="1:10" ht="30" customHeight="1" x14ac:dyDescent="0.15">
      <c r="A50" s="19" t="s">
        <v>169</v>
      </c>
      <c r="B50" s="20" t="s">
        <v>170</v>
      </c>
      <c r="C50" s="20" t="s">
        <v>171</v>
      </c>
      <c r="D50" s="13" t="s">
        <v>87</v>
      </c>
      <c r="E50" s="13" t="s">
        <v>9</v>
      </c>
      <c r="F50" s="21" t="str">
        <f>VLOOKUP($E50,'Приложение 4'!$B$3:$C$19,2,FALSE)</f>
        <v>т</v>
      </c>
      <c r="G50" s="21">
        <v>0.2</v>
      </c>
      <c r="H50" s="13"/>
      <c r="I50" s="22">
        <v>0</v>
      </c>
      <c r="J50" s="22">
        <f>G50*I50</f>
        <v>0</v>
      </c>
    </row>
    <row r="51" spans="1:10" x14ac:dyDescent="0.15">
      <c r="C51" s="20" t="s">
        <v>172</v>
      </c>
      <c r="D51" s="13" t="s">
        <v>89</v>
      </c>
      <c r="E51" s="13" t="s">
        <v>13</v>
      </c>
    </row>
    <row r="52" spans="1:10" ht="30" customHeight="1" x14ac:dyDescent="0.15">
      <c r="A52" s="19" t="s">
        <v>173</v>
      </c>
      <c r="B52" s="20" t="s">
        <v>174</v>
      </c>
      <c r="C52" s="20" t="s">
        <v>175</v>
      </c>
      <c r="D52" s="13" t="s">
        <v>87</v>
      </c>
      <c r="E52" s="13" t="s">
        <v>9</v>
      </c>
      <c r="F52" s="21" t="str">
        <f>VLOOKUP($E52,'Приложение 4'!$B$3:$C$19,2,FALSE)</f>
        <v>т</v>
      </c>
      <c r="G52" s="21">
        <v>0</v>
      </c>
      <c r="H52" s="13"/>
      <c r="I52" s="22">
        <v>0</v>
      </c>
      <c r="J52" s="22">
        <f>G52*I52</f>
        <v>0</v>
      </c>
    </row>
    <row r="53" spans="1:10" x14ac:dyDescent="0.15">
      <c r="C53" s="20" t="s">
        <v>176</v>
      </c>
      <c r="D53" s="13" t="s">
        <v>89</v>
      </c>
      <c r="E53" s="13" t="s">
        <v>13</v>
      </c>
    </row>
    <row r="54" spans="1:10" ht="30" customHeight="1" x14ac:dyDescent="0.15">
      <c r="A54" s="19" t="s">
        <v>177</v>
      </c>
      <c r="B54" s="20" t="s">
        <v>178</v>
      </c>
      <c r="C54" s="20" t="s">
        <v>179</v>
      </c>
      <c r="D54" s="13" t="s">
        <v>87</v>
      </c>
      <c r="E54" s="13" t="s">
        <v>9</v>
      </c>
      <c r="F54" s="21" t="str">
        <f>VLOOKUP($E54,'Приложение 4'!$B$3:$C$19,2,FALSE)</f>
        <v>т</v>
      </c>
      <c r="G54" s="21">
        <v>1</v>
      </c>
      <c r="H54" s="13"/>
      <c r="I54" s="22">
        <v>0</v>
      </c>
      <c r="J54" s="22">
        <f>G54*I54</f>
        <v>0</v>
      </c>
    </row>
    <row r="55" spans="1:10" x14ac:dyDescent="0.15">
      <c r="C55" s="20" t="s">
        <v>180</v>
      </c>
      <c r="D55" s="13" t="s">
        <v>89</v>
      </c>
      <c r="E55" s="13" t="s">
        <v>13</v>
      </c>
    </row>
    <row r="56" spans="1:10" ht="30" customHeight="1" x14ac:dyDescent="0.15">
      <c r="A56" s="19" t="s">
        <v>181</v>
      </c>
      <c r="B56" s="20" t="s">
        <v>182</v>
      </c>
      <c r="C56" s="20" t="s">
        <v>183</v>
      </c>
      <c r="D56" s="13" t="s">
        <v>87</v>
      </c>
      <c r="E56" s="13" t="s">
        <v>9</v>
      </c>
      <c r="F56" s="21" t="str">
        <f>VLOOKUP($E56,'Приложение 4'!$B$3:$C$19,2,FALSE)</f>
        <v>т</v>
      </c>
      <c r="G56" s="21">
        <v>0.8</v>
      </c>
      <c r="H56" s="13"/>
      <c r="I56" s="22">
        <v>0</v>
      </c>
      <c r="J56" s="22">
        <f>G56*I56</f>
        <v>0</v>
      </c>
    </row>
    <row r="57" spans="1:10" x14ac:dyDescent="0.15">
      <c r="C57" s="20" t="s">
        <v>184</v>
      </c>
      <c r="D57" s="13" t="s">
        <v>89</v>
      </c>
      <c r="E57" s="13" t="s">
        <v>13</v>
      </c>
    </row>
    <row r="58" spans="1:10" ht="30" customHeight="1" x14ac:dyDescent="0.15">
      <c r="A58" s="19" t="s">
        <v>185</v>
      </c>
      <c r="B58" s="20" t="s">
        <v>186</v>
      </c>
      <c r="C58" s="20" t="s">
        <v>187</v>
      </c>
      <c r="D58" s="13" t="s">
        <v>87</v>
      </c>
      <c r="E58" s="13" t="s">
        <v>9</v>
      </c>
      <c r="F58" s="21" t="str">
        <f>VLOOKUP($E58,'Приложение 4'!$B$3:$C$19,2,FALSE)</f>
        <v>т</v>
      </c>
      <c r="G58" s="21">
        <v>0</v>
      </c>
      <c r="H58" s="13"/>
      <c r="I58" s="22">
        <v>0</v>
      </c>
      <c r="J58" s="22">
        <f>G58*I58</f>
        <v>0</v>
      </c>
    </row>
    <row r="59" spans="1:10" x14ac:dyDescent="0.15">
      <c r="C59" s="20" t="s">
        <v>188</v>
      </c>
      <c r="D59" s="13" t="s">
        <v>89</v>
      </c>
      <c r="E59" s="13" t="s">
        <v>13</v>
      </c>
    </row>
    <row r="60" spans="1:10" ht="30" customHeight="1" x14ac:dyDescent="0.15">
      <c r="A60" s="19" t="s">
        <v>189</v>
      </c>
      <c r="B60" s="20" t="s">
        <v>190</v>
      </c>
      <c r="C60" s="20" t="s">
        <v>191</v>
      </c>
      <c r="D60" s="13" t="s">
        <v>87</v>
      </c>
      <c r="E60" s="13" t="s">
        <v>9</v>
      </c>
      <c r="F60" s="21" t="str">
        <f>VLOOKUP($E60,'Приложение 4'!$B$3:$C$19,2,FALSE)</f>
        <v>т</v>
      </c>
      <c r="G60" s="21">
        <v>3</v>
      </c>
      <c r="H60" s="13"/>
      <c r="I60" s="22">
        <v>0</v>
      </c>
      <c r="J60" s="22">
        <f>G60*I60</f>
        <v>0</v>
      </c>
    </row>
    <row r="61" spans="1:10" x14ac:dyDescent="0.15">
      <c r="C61" s="20" t="s">
        <v>136</v>
      </c>
      <c r="D61" s="13" t="s">
        <v>89</v>
      </c>
      <c r="E61" s="13" t="s">
        <v>13</v>
      </c>
    </row>
    <row r="62" spans="1:10" ht="30" customHeight="1" x14ac:dyDescent="0.15">
      <c r="A62" s="19" t="s">
        <v>192</v>
      </c>
      <c r="B62" s="20" t="s">
        <v>193</v>
      </c>
      <c r="C62" s="20" t="s">
        <v>194</v>
      </c>
      <c r="D62" s="13" t="s">
        <v>87</v>
      </c>
      <c r="E62" s="13" t="s">
        <v>9</v>
      </c>
      <c r="F62" s="21" t="str">
        <f>VLOOKUP($E62,'Приложение 4'!$B$3:$C$19,2,FALSE)</f>
        <v>т</v>
      </c>
      <c r="G62" s="21">
        <v>0</v>
      </c>
      <c r="H62" s="13"/>
      <c r="I62" s="22">
        <v>0</v>
      </c>
      <c r="J62" s="22">
        <f>G62*I62</f>
        <v>0</v>
      </c>
    </row>
    <row r="63" spans="1:10" x14ac:dyDescent="0.15">
      <c r="C63" s="20" t="s">
        <v>195</v>
      </c>
      <c r="D63" s="13" t="s">
        <v>89</v>
      </c>
      <c r="E63" s="13" t="s">
        <v>13</v>
      </c>
    </row>
    <row r="64" spans="1:10" ht="30" customHeight="1" x14ac:dyDescent="0.15">
      <c r="A64" s="19" t="s">
        <v>196</v>
      </c>
      <c r="B64" s="20" t="s">
        <v>197</v>
      </c>
      <c r="C64" s="20" t="s">
        <v>198</v>
      </c>
      <c r="D64" s="13" t="s">
        <v>87</v>
      </c>
      <c r="E64" s="13" t="s">
        <v>9</v>
      </c>
      <c r="F64" s="21" t="str">
        <f>VLOOKUP($E64,'Приложение 4'!$B$3:$C$19,2,FALSE)</f>
        <v>т</v>
      </c>
      <c r="G64" s="21">
        <v>0.8</v>
      </c>
      <c r="H64" s="13"/>
      <c r="I64" s="22">
        <v>0</v>
      </c>
      <c r="J64" s="22">
        <f>G64*I64</f>
        <v>0</v>
      </c>
    </row>
    <row r="65" spans="1:10" x14ac:dyDescent="0.15">
      <c r="C65" s="20" t="s">
        <v>199</v>
      </c>
      <c r="D65" s="13" t="s">
        <v>89</v>
      </c>
      <c r="E65" s="13" t="s">
        <v>13</v>
      </c>
    </row>
    <row r="66" spans="1:10" ht="30" customHeight="1" x14ac:dyDescent="0.15">
      <c r="A66" s="19" t="s">
        <v>200</v>
      </c>
      <c r="B66" s="20" t="s">
        <v>201</v>
      </c>
      <c r="C66" s="20" t="s">
        <v>202</v>
      </c>
      <c r="D66" s="13" t="s">
        <v>87</v>
      </c>
      <c r="E66" s="13" t="s">
        <v>9</v>
      </c>
      <c r="F66" s="21" t="str">
        <f>VLOOKUP($E66,'Приложение 4'!$B$3:$C$19,2,FALSE)</f>
        <v>т</v>
      </c>
      <c r="G66" s="21">
        <v>0</v>
      </c>
      <c r="H66" s="13"/>
      <c r="I66" s="22">
        <v>0</v>
      </c>
      <c r="J66" s="22">
        <f>G66*I66</f>
        <v>0</v>
      </c>
    </row>
    <row r="67" spans="1:10" x14ac:dyDescent="0.15">
      <c r="C67" s="20" t="s">
        <v>203</v>
      </c>
      <c r="D67" s="13" t="s">
        <v>89</v>
      </c>
      <c r="E67" s="13" t="s">
        <v>13</v>
      </c>
    </row>
    <row r="68" spans="1:10" ht="30" customHeight="1" x14ac:dyDescent="0.15">
      <c r="A68" s="19" t="s">
        <v>204</v>
      </c>
      <c r="B68" s="20" t="s">
        <v>205</v>
      </c>
      <c r="C68" s="20" t="s">
        <v>206</v>
      </c>
      <c r="D68" s="13" t="s">
        <v>87</v>
      </c>
      <c r="E68" s="13" t="s">
        <v>9</v>
      </c>
      <c r="F68" s="21" t="str">
        <f>VLOOKUP($E68,'Приложение 4'!$B$3:$C$19,2,FALSE)</f>
        <v>т</v>
      </c>
      <c r="G68" s="28">
        <v>0.6</v>
      </c>
      <c r="H68" s="13"/>
      <c r="I68" s="22">
        <v>0</v>
      </c>
      <c r="J68" s="22">
        <f>G68*I68</f>
        <v>0</v>
      </c>
    </row>
    <row r="69" spans="1:10" x14ac:dyDescent="0.15">
      <c r="C69" s="20" t="s">
        <v>207</v>
      </c>
      <c r="D69" s="13" t="s">
        <v>89</v>
      </c>
      <c r="E69" s="13" t="s">
        <v>13</v>
      </c>
    </row>
    <row r="70" spans="1:10" ht="30" customHeight="1" x14ac:dyDescent="0.15">
      <c r="A70" s="19" t="s">
        <v>208</v>
      </c>
      <c r="B70" s="20" t="s">
        <v>209</v>
      </c>
      <c r="C70" s="20" t="s">
        <v>210</v>
      </c>
      <c r="D70" s="13" t="s">
        <v>87</v>
      </c>
      <c r="E70" s="13" t="s">
        <v>9</v>
      </c>
      <c r="F70" s="21" t="str">
        <f>VLOOKUP($E70,'Приложение 4'!$B$3:$C$19,2,FALSE)</f>
        <v>т</v>
      </c>
      <c r="G70" s="21">
        <v>0</v>
      </c>
      <c r="H70" s="13"/>
      <c r="I70" s="22">
        <v>0</v>
      </c>
      <c r="J70" s="22">
        <f>G70*I70</f>
        <v>0</v>
      </c>
    </row>
    <row r="71" spans="1:10" x14ac:dyDescent="0.15">
      <c r="C71" s="20" t="s">
        <v>207</v>
      </c>
      <c r="D71" s="13" t="s">
        <v>89</v>
      </c>
      <c r="E71" s="13" t="s">
        <v>13</v>
      </c>
    </row>
    <row r="72" spans="1:10" ht="30" customHeight="1" x14ac:dyDescent="0.15">
      <c r="A72" s="19" t="s">
        <v>211</v>
      </c>
      <c r="B72" s="20" t="s">
        <v>212</v>
      </c>
      <c r="C72" s="20" t="s">
        <v>213</v>
      </c>
      <c r="D72" s="13" t="s">
        <v>87</v>
      </c>
      <c r="E72" s="13" t="s">
        <v>9</v>
      </c>
      <c r="F72" s="21" t="str">
        <f>VLOOKUP($E72,'Приложение 4'!$B$3:$C$19,2,FALSE)</f>
        <v>т</v>
      </c>
      <c r="G72" s="21">
        <v>5</v>
      </c>
      <c r="H72" s="13"/>
      <c r="I72" s="22">
        <v>0</v>
      </c>
      <c r="J72" s="22">
        <f>G72*I72</f>
        <v>0</v>
      </c>
    </row>
    <row r="73" spans="1:10" x14ac:dyDescent="0.15">
      <c r="C73" s="20" t="s">
        <v>214</v>
      </c>
      <c r="D73" s="13" t="s">
        <v>89</v>
      </c>
      <c r="E73" s="13" t="s">
        <v>13</v>
      </c>
    </row>
    <row r="74" spans="1:10" ht="30" customHeight="1" x14ac:dyDescent="0.15">
      <c r="A74" s="19" t="s">
        <v>215</v>
      </c>
      <c r="B74" s="20" t="s">
        <v>216</v>
      </c>
      <c r="C74" s="20" t="s">
        <v>217</v>
      </c>
      <c r="D74" s="13" t="s">
        <v>87</v>
      </c>
      <c r="E74" s="13" t="s">
        <v>9</v>
      </c>
      <c r="F74" s="21" t="str">
        <f>VLOOKUP($E74,'Приложение 4'!$B$3:$C$19,2,FALSE)</f>
        <v>т</v>
      </c>
      <c r="G74" s="21">
        <v>0</v>
      </c>
      <c r="H74" s="13"/>
      <c r="I74" s="22">
        <v>0</v>
      </c>
      <c r="J74" s="22">
        <f>G74*I74</f>
        <v>0</v>
      </c>
    </row>
    <row r="75" spans="1:10" x14ac:dyDescent="0.15">
      <c r="C75" s="20" t="s">
        <v>218</v>
      </c>
      <c r="D75" s="13" t="s">
        <v>89</v>
      </c>
      <c r="E75" s="13" t="s">
        <v>13</v>
      </c>
    </row>
    <row r="76" spans="1:10" ht="30" customHeight="1" x14ac:dyDescent="0.15">
      <c r="A76" s="19" t="s">
        <v>219</v>
      </c>
      <c r="B76" s="20" t="s">
        <v>220</v>
      </c>
      <c r="C76" s="20" t="s">
        <v>221</v>
      </c>
      <c r="D76" s="13" t="s">
        <v>87</v>
      </c>
      <c r="E76" s="13" t="s">
        <v>9</v>
      </c>
      <c r="F76" s="21" t="str">
        <f>VLOOKUP($E76,'Приложение 4'!$B$3:$C$19,2,FALSE)</f>
        <v>т</v>
      </c>
      <c r="G76" s="21">
        <v>5.5</v>
      </c>
      <c r="H76" s="13"/>
      <c r="I76" s="22">
        <v>0</v>
      </c>
      <c r="J76" s="22">
        <f>G76*I76</f>
        <v>0</v>
      </c>
    </row>
    <row r="77" spans="1:10" x14ac:dyDescent="0.15">
      <c r="C77" s="20" t="s">
        <v>222</v>
      </c>
      <c r="D77" s="13" t="s">
        <v>89</v>
      </c>
      <c r="E77" s="13" t="s">
        <v>13</v>
      </c>
    </row>
    <row r="78" spans="1:10" ht="30" customHeight="1" x14ac:dyDescent="0.15">
      <c r="A78" s="19" t="s">
        <v>223</v>
      </c>
      <c r="B78" s="20" t="s">
        <v>224</v>
      </c>
      <c r="C78" s="20" t="s">
        <v>225</v>
      </c>
      <c r="D78" s="13" t="s">
        <v>87</v>
      </c>
      <c r="E78" s="13" t="s">
        <v>9</v>
      </c>
      <c r="F78" s="21" t="str">
        <f>VLOOKUP($E78,'Приложение 4'!$B$3:$C$19,2,FALSE)</f>
        <v>т</v>
      </c>
      <c r="G78" s="21">
        <v>0</v>
      </c>
      <c r="H78" s="13"/>
      <c r="I78" s="22">
        <v>0</v>
      </c>
      <c r="J78" s="22">
        <f>G78*I78</f>
        <v>0</v>
      </c>
    </row>
    <row r="79" spans="1:10" x14ac:dyDescent="0.15">
      <c r="C79" s="20" t="s">
        <v>226</v>
      </c>
      <c r="D79" s="13" t="s">
        <v>89</v>
      </c>
      <c r="E79" s="13" t="s">
        <v>13</v>
      </c>
    </row>
    <row r="80" spans="1:10" ht="45" customHeight="1" x14ac:dyDescent="0.15">
      <c r="A80" s="19" t="s">
        <v>227</v>
      </c>
      <c r="B80" s="20" t="s">
        <v>228</v>
      </c>
      <c r="C80" s="20" t="s">
        <v>229</v>
      </c>
      <c r="D80" s="13" t="s">
        <v>87</v>
      </c>
      <c r="E80" s="13" t="s">
        <v>9</v>
      </c>
      <c r="F80" s="21" t="str">
        <f>VLOOKUP($E80,'Приложение 4'!$B$3:$C$19,2,FALSE)</f>
        <v>т</v>
      </c>
      <c r="G80" s="21">
        <v>0.6</v>
      </c>
      <c r="H80" s="13"/>
      <c r="I80" s="22">
        <v>0</v>
      </c>
      <c r="J80" s="22">
        <f>G80*I80</f>
        <v>0</v>
      </c>
    </row>
    <row r="81" spans="1:10" x14ac:dyDescent="0.15">
      <c r="C81" s="20" t="s">
        <v>230</v>
      </c>
      <c r="D81" s="13" t="s">
        <v>89</v>
      </c>
      <c r="E81" s="13" t="s">
        <v>13</v>
      </c>
    </row>
    <row r="82" spans="1:10" ht="30" customHeight="1" x14ac:dyDescent="0.15">
      <c r="A82" s="19" t="s">
        <v>231</v>
      </c>
      <c r="B82" s="20" t="s">
        <v>232</v>
      </c>
      <c r="C82" s="20" t="s">
        <v>233</v>
      </c>
      <c r="D82" s="13" t="s">
        <v>87</v>
      </c>
      <c r="E82" s="13" t="s">
        <v>9</v>
      </c>
      <c r="F82" s="21" t="str">
        <f>VLOOKUP($E82,'Приложение 4'!$B$3:$C$19,2,FALSE)</f>
        <v>т</v>
      </c>
      <c r="G82" s="21">
        <v>0</v>
      </c>
      <c r="H82" s="13"/>
      <c r="I82" s="22">
        <v>0</v>
      </c>
      <c r="J82" s="22">
        <f>G82*I82</f>
        <v>0</v>
      </c>
    </row>
    <row r="83" spans="1:10" x14ac:dyDescent="0.15">
      <c r="C83" s="20" t="s">
        <v>234</v>
      </c>
      <c r="D83" s="13" t="s">
        <v>89</v>
      </c>
      <c r="E83" s="13" t="s">
        <v>13</v>
      </c>
    </row>
    <row r="84" spans="1:10" ht="30" customHeight="1" x14ac:dyDescent="0.15">
      <c r="A84" s="19" t="s">
        <v>235</v>
      </c>
      <c r="B84" s="20" t="s">
        <v>236</v>
      </c>
      <c r="C84" s="20" t="s">
        <v>237</v>
      </c>
      <c r="D84" s="13" t="s">
        <v>87</v>
      </c>
      <c r="E84" s="13" t="s">
        <v>9</v>
      </c>
      <c r="F84" s="21" t="str">
        <f>VLOOKUP($E84,'Приложение 4'!$B$3:$C$19,2,FALSE)</f>
        <v>т</v>
      </c>
      <c r="G84" s="21">
        <v>0.3</v>
      </c>
      <c r="H84" s="13"/>
      <c r="I84" s="22">
        <v>0</v>
      </c>
      <c r="J84" s="22">
        <f>G84*I84</f>
        <v>0</v>
      </c>
    </row>
    <row r="85" spans="1:10" x14ac:dyDescent="0.15">
      <c r="C85" s="20" t="s">
        <v>238</v>
      </c>
      <c r="D85" s="13" t="s">
        <v>89</v>
      </c>
      <c r="E85" s="13" t="s">
        <v>13</v>
      </c>
    </row>
    <row r="86" spans="1:10" ht="30" customHeight="1" x14ac:dyDescent="0.15">
      <c r="A86" s="19" t="s">
        <v>239</v>
      </c>
      <c r="B86" s="20" t="s">
        <v>240</v>
      </c>
      <c r="C86" s="20" t="s">
        <v>241</v>
      </c>
      <c r="D86" s="13" t="s">
        <v>87</v>
      </c>
      <c r="E86" s="13" t="s">
        <v>9</v>
      </c>
      <c r="F86" s="21" t="str">
        <f>VLOOKUP($E86,'Приложение 4'!$B$3:$C$19,2,FALSE)</f>
        <v>т</v>
      </c>
      <c r="G86" s="21">
        <v>9</v>
      </c>
      <c r="H86" s="13"/>
      <c r="I86" s="22">
        <v>0</v>
      </c>
      <c r="J86" s="22">
        <f>G86*I86</f>
        <v>0</v>
      </c>
    </row>
    <row r="87" spans="1:10" x14ac:dyDescent="0.15">
      <c r="C87" s="20" t="s">
        <v>242</v>
      </c>
      <c r="D87" s="13" t="s">
        <v>89</v>
      </c>
      <c r="E87" s="13" t="s">
        <v>13</v>
      </c>
    </row>
    <row r="88" spans="1:10" ht="30" customHeight="1" x14ac:dyDescent="0.15">
      <c r="A88" s="19" t="s">
        <v>243</v>
      </c>
      <c r="B88" s="20" t="s">
        <v>244</v>
      </c>
      <c r="C88" s="20" t="s">
        <v>245</v>
      </c>
      <c r="D88" s="13" t="s">
        <v>87</v>
      </c>
      <c r="E88" s="13" t="s">
        <v>9</v>
      </c>
      <c r="F88" s="21" t="str">
        <f>VLOOKUP($E88,'Приложение 4'!$B$3:$C$19,2,FALSE)</f>
        <v>т</v>
      </c>
      <c r="G88" s="21">
        <v>0</v>
      </c>
      <c r="H88" s="13"/>
      <c r="I88" s="22">
        <v>0</v>
      </c>
      <c r="J88" s="22">
        <f>G88*I88</f>
        <v>0</v>
      </c>
    </row>
    <row r="89" spans="1:10" x14ac:dyDescent="0.15">
      <c r="C89" s="20" t="s">
        <v>246</v>
      </c>
      <c r="D89" s="13" t="s">
        <v>89</v>
      </c>
      <c r="E89" s="13" t="s">
        <v>13</v>
      </c>
    </row>
    <row r="90" spans="1:10" ht="30" customHeight="1" x14ac:dyDescent="0.15">
      <c r="A90" s="19" t="s">
        <v>247</v>
      </c>
      <c r="B90" s="20" t="s">
        <v>248</v>
      </c>
      <c r="C90" s="20" t="s">
        <v>249</v>
      </c>
      <c r="D90" s="13" t="s">
        <v>87</v>
      </c>
      <c r="E90" s="13" t="s">
        <v>9</v>
      </c>
      <c r="F90" s="21" t="str">
        <f>VLOOKUP($E90,'Приложение 4'!$B$3:$C$19,2,FALSE)</f>
        <v>т</v>
      </c>
      <c r="G90" s="21">
        <v>8.5</v>
      </c>
      <c r="H90" s="13"/>
      <c r="I90" s="22">
        <v>0</v>
      </c>
      <c r="J90" s="22">
        <f>G90*I90</f>
        <v>0</v>
      </c>
    </row>
    <row r="91" spans="1:10" x14ac:dyDescent="0.15">
      <c r="C91" s="20" t="s">
        <v>250</v>
      </c>
      <c r="D91" s="13" t="s">
        <v>89</v>
      </c>
      <c r="E91" s="13" t="s">
        <v>13</v>
      </c>
    </row>
    <row r="92" spans="1:10" ht="30" customHeight="1" x14ac:dyDescent="0.15">
      <c r="A92" s="19" t="s">
        <v>251</v>
      </c>
      <c r="B92" s="20" t="s">
        <v>252</v>
      </c>
      <c r="C92" s="20" t="s">
        <v>253</v>
      </c>
      <c r="D92" s="13" t="s">
        <v>87</v>
      </c>
      <c r="E92" s="13" t="s">
        <v>9</v>
      </c>
      <c r="F92" s="21" t="str">
        <f>VLOOKUP($E92,'Приложение 4'!$B$3:$C$19,2,FALSE)</f>
        <v>т</v>
      </c>
      <c r="G92" s="21">
        <v>0</v>
      </c>
      <c r="H92" s="13"/>
      <c r="I92" s="22">
        <v>0</v>
      </c>
      <c r="J92" s="22">
        <f>G92*I92</f>
        <v>0</v>
      </c>
    </row>
    <row r="93" spans="1:10" x14ac:dyDescent="0.15">
      <c r="C93" s="20" t="s">
        <v>254</v>
      </c>
      <c r="D93" s="13" t="s">
        <v>89</v>
      </c>
      <c r="E93" s="13" t="s">
        <v>13</v>
      </c>
    </row>
    <row r="94" spans="1:10" ht="30" customHeight="1" x14ac:dyDescent="0.15">
      <c r="A94" s="19" t="s">
        <v>255</v>
      </c>
      <c r="B94" s="20" t="s">
        <v>256</v>
      </c>
      <c r="C94" s="20" t="s">
        <v>257</v>
      </c>
      <c r="D94" s="13" t="s">
        <v>87</v>
      </c>
      <c r="E94" s="13" t="s">
        <v>9</v>
      </c>
      <c r="F94" s="21" t="str">
        <f>VLOOKUP($E94,'Приложение 4'!$B$3:$C$19,2,FALSE)</f>
        <v>т</v>
      </c>
      <c r="G94" s="21">
        <v>5</v>
      </c>
      <c r="H94" s="13"/>
      <c r="I94" s="22">
        <v>0</v>
      </c>
      <c r="J94" s="22">
        <f>G94*I94</f>
        <v>0</v>
      </c>
    </row>
    <row r="95" spans="1:10" x14ac:dyDescent="0.15">
      <c r="C95" s="20" t="s">
        <v>258</v>
      </c>
      <c r="D95" s="13" t="s">
        <v>89</v>
      </c>
      <c r="E95" s="13" t="s">
        <v>13</v>
      </c>
    </row>
    <row r="96" spans="1:10" ht="30" customHeight="1" x14ac:dyDescent="0.15">
      <c r="A96" s="19" t="s">
        <v>259</v>
      </c>
      <c r="B96" s="20" t="s">
        <v>260</v>
      </c>
      <c r="C96" s="20" t="s">
        <v>261</v>
      </c>
      <c r="D96" s="13" t="s">
        <v>87</v>
      </c>
      <c r="E96" s="13" t="s">
        <v>9</v>
      </c>
      <c r="F96" s="21" t="str">
        <f>VLOOKUP($E96,'Приложение 4'!$B$3:$C$19,2,FALSE)</f>
        <v>т</v>
      </c>
      <c r="G96" s="21">
        <v>0</v>
      </c>
      <c r="H96" s="13"/>
      <c r="I96" s="22">
        <v>0</v>
      </c>
      <c r="J96" s="22">
        <f>G96*I96</f>
        <v>0</v>
      </c>
    </row>
    <row r="97" spans="1:10" x14ac:dyDescent="0.15">
      <c r="C97" s="20" t="s">
        <v>262</v>
      </c>
      <c r="D97" s="13" t="s">
        <v>89</v>
      </c>
      <c r="E97" s="13" t="s">
        <v>13</v>
      </c>
    </row>
    <row r="98" spans="1:10" ht="30" customHeight="1" x14ac:dyDescent="0.15">
      <c r="A98" s="19" t="s">
        <v>263</v>
      </c>
      <c r="B98" s="20" t="s">
        <v>264</v>
      </c>
      <c r="C98" s="20" t="s">
        <v>265</v>
      </c>
      <c r="D98" s="13" t="s">
        <v>87</v>
      </c>
      <c r="E98" s="13" t="s">
        <v>9</v>
      </c>
      <c r="F98" s="21" t="str">
        <f>VLOOKUP($E98,'Приложение 4'!$B$3:$C$19,2,FALSE)</f>
        <v>т</v>
      </c>
      <c r="G98" s="21">
        <v>2</v>
      </c>
      <c r="H98" s="13"/>
      <c r="I98" s="22">
        <v>0</v>
      </c>
      <c r="J98" s="22">
        <f>G98*I98</f>
        <v>0</v>
      </c>
    </row>
    <row r="99" spans="1:10" x14ac:dyDescent="0.15">
      <c r="C99" s="20" t="s">
        <v>266</v>
      </c>
      <c r="D99" s="13" t="s">
        <v>89</v>
      </c>
      <c r="E99" s="13" t="s">
        <v>13</v>
      </c>
    </row>
    <row r="100" spans="1:10" ht="60" customHeight="1" x14ac:dyDescent="0.15">
      <c r="A100" s="19" t="s">
        <v>267</v>
      </c>
      <c r="B100" s="20" t="s">
        <v>268</v>
      </c>
      <c r="C100" s="20" t="s">
        <v>269</v>
      </c>
      <c r="D100" s="13" t="s">
        <v>87</v>
      </c>
      <c r="E100" s="13" t="s">
        <v>9</v>
      </c>
      <c r="F100" s="21" t="str">
        <f>VLOOKUP($E100,'Приложение 4'!$B$3:$C$19,2,FALSE)</f>
        <v>т</v>
      </c>
      <c r="G100" s="21">
        <v>0.06</v>
      </c>
      <c r="H100" s="13"/>
      <c r="I100" s="22">
        <v>0</v>
      </c>
      <c r="J100" s="22">
        <f>G100*I100</f>
        <v>0</v>
      </c>
    </row>
    <row r="101" spans="1:10" x14ac:dyDescent="0.15">
      <c r="C101" s="20" t="s">
        <v>270</v>
      </c>
      <c r="D101" s="13" t="s">
        <v>89</v>
      </c>
      <c r="E101" s="13" t="s">
        <v>13</v>
      </c>
    </row>
    <row r="102" spans="1:10" ht="30" customHeight="1" x14ac:dyDescent="0.15">
      <c r="A102" s="19" t="s">
        <v>271</v>
      </c>
      <c r="B102" s="20" t="s">
        <v>272</v>
      </c>
      <c r="C102" s="20" t="s">
        <v>273</v>
      </c>
      <c r="D102" s="13" t="s">
        <v>87</v>
      </c>
      <c r="E102" s="13" t="s">
        <v>9</v>
      </c>
      <c r="F102" s="21" t="str">
        <f>VLOOKUP($E102,'Приложение 4'!$B$3:$C$19,2,FALSE)</f>
        <v>т</v>
      </c>
      <c r="G102" s="21">
        <v>0.1</v>
      </c>
      <c r="H102" s="13"/>
      <c r="I102" s="22">
        <v>0</v>
      </c>
      <c r="J102" s="22">
        <f>G102*I102</f>
        <v>0</v>
      </c>
    </row>
    <row r="103" spans="1:10" x14ac:dyDescent="0.15">
      <c r="C103" s="20" t="s">
        <v>274</v>
      </c>
      <c r="D103" s="13" t="s">
        <v>89</v>
      </c>
      <c r="E103" s="13" t="s">
        <v>13</v>
      </c>
    </row>
    <row r="104" spans="1:10" ht="30" customHeight="1" x14ac:dyDescent="0.15">
      <c r="A104" s="19" t="s">
        <v>275</v>
      </c>
      <c r="B104" s="20" t="s">
        <v>276</v>
      </c>
      <c r="C104" s="20" t="s">
        <v>277</v>
      </c>
      <c r="D104" s="13" t="s">
        <v>87</v>
      </c>
      <c r="E104" s="13" t="s">
        <v>9</v>
      </c>
      <c r="F104" s="21" t="str">
        <f>VLOOKUP($E104,'Приложение 4'!$B$3:$C$19,2,FALSE)</f>
        <v>т</v>
      </c>
      <c r="G104" s="21">
        <v>3.8</v>
      </c>
      <c r="H104" s="13"/>
      <c r="I104" s="22">
        <v>0</v>
      </c>
      <c r="J104" s="22">
        <f>G104*I104</f>
        <v>0</v>
      </c>
    </row>
    <row r="105" spans="1:10" x14ac:dyDescent="0.15">
      <c r="C105" s="20" t="s">
        <v>278</v>
      </c>
      <c r="D105" s="13" t="s">
        <v>89</v>
      </c>
      <c r="E105" s="13" t="s">
        <v>13</v>
      </c>
    </row>
    <row r="106" spans="1:10" ht="30" customHeight="1" x14ac:dyDescent="0.15">
      <c r="A106" s="19" t="s">
        <v>279</v>
      </c>
      <c r="B106" s="20" t="s">
        <v>280</v>
      </c>
      <c r="C106" s="20" t="s">
        <v>281</v>
      </c>
      <c r="D106" s="13" t="s">
        <v>87</v>
      </c>
      <c r="E106" s="13" t="s">
        <v>9</v>
      </c>
      <c r="F106" s="21" t="str">
        <f>VLOOKUP($E106,'Приложение 4'!$B$3:$C$19,2,FALSE)</f>
        <v>т</v>
      </c>
      <c r="G106" s="21">
        <v>0.3</v>
      </c>
      <c r="H106" s="13"/>
      <c r="I106" s="22">
        <v>0</v>
      </c>
      <c r="J106" s="22">
        <f>G106*I106</f>
        <v>0</v>
      </c>
    </row>
    <row r="107" spans="1:10" x14ac:dyDescent="0.15">
      <c r="C107" s="20" t="s">
        <v>282</v>
      </c>
      <c r="D107" s="13" t="s">
        <v>89</v>
      </c>
      <c r="E107" s="13" t="s">
        <v>13</v>
      </c>
    </row>
    <row r="108" spans="1:10" ht="30" customHeight="1" x14ac:dyDescent="0.15">
      <c r="A108" s="19" t="s">
        <v>283</v>
      </c>
      <c r="B108" s="20" t="s">
        <v>284</v>
      </c>
      <c r="C108" s="20" t="s">
        <v>285</v>
      </c>
      <c r="D108" s="13" t="s">
        <v>87</v>
      </c>
      <c r="E108" s="13" t="s">
        <v>9</v>
      </c>
      <c r="F108" s="21" t="str">
        <f>VLOOKUP($E108,'Приложение 4'!$B$3:$C$19,2,FALSE)</f>
        <v>т</v>
      </c>
      <c r="G108" s="21"/>
      <c r="H108" s="13"/>
      <c r="I108" s="22">
        <v>0</v>
      </c>
      <c r="J108" s="22">
        <f>G108*I108</f>
        <v>0</v>
      </c>
    </row>
    <row r="109" spans="1:10" x14ac:dyDescent="0.15">
      <c r="C109" s="20" t="s">
        <v>286</v>
      </c>
      <c r="D109" s="13" t="s">
        <v>89</v>
      </c>
      <c r="E109" s="13" t="s">
        <v>13</v>
      </c>
    </row>
    <row r="110" spans="1:10" ht="30" customHeight="1" x14ac:dyDescent="0.15">
      <c r="A110" s="19" t="s">
        <v>287</v>
      </c>
      <c r="B110" s="20" t="s">
        <v>288</v>
      </c>
      <c r="C110" s="20" t="s">
        <v>289</v>
      </c>
      <c r="D110" s="13" t="s">
        <v>87</v>
      </c>
      <c r="E110" s="13" t="s">
        <v>9</v>
      </c>
      <c r="F110" s="21" t="str">
        <f>VLOOKUP($E110,'Приложение 4'!$B$3:$C$19,2,FALSE)</f>
        <v>т</v>
      </c>
      <c r="G110" s="21">
        <v>0.2</v>
      </c>
      <c r="H110" s="13"/>
      <c r="I110" s="22">
        <v>0</v>
      </c>
      <c r="J110" s="22">
        <f>G110*I110</f>
        <v>0</v>
      </c>
    </row>
    <row r="111" spans="1:10" x14ac:dyDescent="0.15">
      <c r="C111" s="20" t="s">
        <v>290</v>
      </c>
      <c r="D111" s="13" t="s">
        <v>89</v>
      </c>
      <c r="E111" s="13" t="s">
        <v>13</v>
      </c>
    </row>
    <row r="112" spans="1:10" ht="30" customHeight="1" x14ac:dyDescent="0.15">
      <c r="A112" s="19" t="s">
        <v>291</v>
      </c>
      <c r="B112" s="20" t="s">
        <v>292</v>
      </c>
      <c r="C112" s="20" t="s">
        <v>293</v>
      </c>
      <c r="D112" s="13" t="s">
        <v>87</v>
      </c>
      <c r="E112" s="13" t="s">
        <v>9</v>
      </c>
      <c r="F112" s="21" t="str">
        <f>VLOOKUP($E112,'Приложение 4'!$B$3:$C$19,2,FALSE)</f>
        <v>т</v>
      </c>
      <c r="G112" s="21">
        <v>0</v>
      </c>
      <c r="H112" s="13"/>
      <c r="I112" s="22">
        <v>0</v>
      </c>
      <c r="J112" s="22">
        <f>G112*I112</f>
        <v>0</v>
      </c>
    </row>
    <row r="113" spans="1:10" x14ac:dyDescent="0.15">
      <c r="C113" s="20" t="s">
        <v>294</v>
      </c>
      <c r="D113" s="13" t="s">
        <v>89</v>
      </c>
      <c r="E113" s="13" t="s">
        <v>13</v>
      </c>
    </row>
    <row r="114" spans="1:10" ht="30" customHeight="1" x14ac:dyDescent="0.15">
      <c r="A114" s="19" t="s">
        <v>295</v>
      </c>
      <c r="B114" s="20" t="s">
        <v>296</v>
      </c>
      <c r="C114" s="20" t="s">
        <v>297</v>
      </c>
      <c r="D114" s="13" t="s">
        <v>87</v>
      </c>
      <c r="E114" s="13" t="s">
        <v>9</v>
      </c>
      <c r="F114" s="21" t="str">
        <f>VLOOKUP($E114,'Приложение 4'!$B$3:$C$19,2,FALSE)</f>
        <v>т</v>
      </c>
      <c r="G114" s="21">
        <v>0.8</v>
      </c>
      <c r="H114" s="13"/>
      <c r="I114" s="22">
        <v>0</v>
      </c>
      <c r="J114" s="22">
        <f>G114*I114</f>
        <v>0</v>
      </c>
    </row>
    <row r="115" spans="1:10" x14ac:dyDescent="0.15">
      <c r="C115" s="20" t="s">
        <v>298</v>
      </c>
      <c r="D115" s="13" t="s">
        <v>89</v>
      </c>
      <c r="E115" s="13" t="s">
        <v>13</v>
      </c>
    </row>
    <row r="116" spans="1:10" ht="30" customHeight="1" x14ac:dyDescent="0.15">
      <c r="A116" s="19" t="s">
        <v>299</v>
      </c>
      <c r="B116" s="20" t="s">
        <v>300</v>
      </c>
      <c r="C116" s="20" t="s">
        <v>301</v>
      </c>
      <c r="D116" s="13" t="s">
        <v>87</v>
      </c>
      <c r="E116" s="13" t="s">
        <v>9</v>
      </c>
      <c r="F116" s="21" t="str">
        <f>VLOOKUP($E116,'Приложение 4'!$B$3:$C$19,2,FALSE)</f>
        <v>т</v>
      </c>
      <c r="G116" s="21">
        <v>0.8</v>
      </c>
      <c r="H116" s="13"/>
      <c r="I116" s="22">
        <v>0</v>
      </c>
      <c r="J116" s="22">
        <f>G116*I116</f>
        <v>0</v>
      </c>
    </row>
    <row r="117" spans="1:10" x14ac:dyDescent="0.15">
      <c r="C117" s="20" t="s">
        <v>302</v>
      </c>
      <c r="D117" s="13" t="s">
        <v>89</v>
      </c>
      <c r="E117" s="13" t="s">
        <v>13</v>
      </c>
    </row>
    <row r="118" spans="1:10" ht="30" customHeight="1" x14ac:dyDescent="0.15">
      <c r="A118" s="19" t="s">
        <v>303</v>
      </c>
      <c r="B118" s="20" t="s">
        <v>304</v>
      </c>
      <c r="C118" s="20" t="s">
        <v>305</v>
      </c>
      <c r="D118" s="13" t="s">
        <v>87</v>
      </c>
      <c r="E118" s="13" t="s">
        <v>9</v>
      </c>
      <c r="F118" s="21" t="str">
        <f>VLOOKUP($E118,'Приложение 4'!$B$3:$C$19,2,FALSE)</f>
        <v>т</v>
      </c>
      <c r="G118" s="21">
        <v>3</v>
      </c>
      <c r="H118" s="13"/>
      <c r="I118" s="22">
        <v>0</v>
      </c>
      <c r="J118" s="22">
        <f>G118*I118</f>
        <v>0</v>
      </c>
    </row>
    <row r="119" spans="1:10" x14ac:dyDescent="0.15">
      <c r="C119" s="20" t="s">
        <v>306</v>
      </c>
      <c r="D119" s="13" t="s">
        <v>89</v>
      </c>
      <c r="E119" s="13" t="s">
        <v>13</v>
      </c>
    </row>
    <row r="120" spans="1:10" ht="30" customHeight="1" x14ac:dyDescent="0.15">
      <c r="A120" s="19" t="s">
        <v>307</v>
      </c>
      <c r="B120" s="20" t="s">
        <v>308</v>
      </c>
      <c r="C120" s="20" t="s">
        <v>309</v>
      </c>
      <c r="D120" s="13" t="s">
        <v>87</v>
      </c>
      <c r="E120" s="13" t="s">
        <v>9</v>
      </c>
      <c r="F120" s="21" t="str">
        <f>VLOOKUP($E120,'Приложение 4'!$B$3:$C$19,2,FALSE)</f>
        <v>т</v>
      </c>
      <c r="G120" s="21">
        <v>2</v>
      </c>
      <c r="H120" s="13"/>
      <c r="I120" s="22">
        <v>0</v>
      </c>
      <c r="J120" s="22">
        <f>G120*I120</f>
        <v>0</v>
      </c>
    </row>
    <row r="121" spans="1:10" x14ac:dyDescent="0.15">
      <c r="C121" s="20" t="s">
        <v>310</v>
      </c>
      <c r="D121" s="13" t="s">
        <v>89</v>
      </c>
      <c r="E121" s="13" t="s">
        <v>13</v>
      </c>
    </row>
    <row r="122" spans="1:10" ht="30" customHeight="1" x14ac:dyDescent="0.15">
      <c r="A122" s="19" t="s">
        <v>311</v>
      </c>
      <c r="B122" s="20" t="s">
        <v>312</v>
      </c>
      <c r="C122" s="20" t="s">
        <v>313</v>
      </c>
      <c r="D122" s="13" t="s">
        <v>87</v>
      </c>
      <c r="E122" s="13" t="s">
        <v>9</v>
      </c>
      <c r="F122" s="21" t="str">
        <f>VLOOKUP($E122,'Приложение 4'!$B$3:$C$19,2,FALSE)</f>
        <v>т</v>
      </c>
      <c r="G122" s="21">
        <v>150</v>
      </c>
      <c r="H122" s="13"/>
      <c r="I122" s="22">
        <v>0</v>
      </c>
      <c r="J122" s="22">
        <f>G122*I122</f>
        <v>0</v>
      </c>
    </row>
    <row r="123" spans="1:10" x14ac:dyDescent="0.15">
      <c r="C123" s="20" t="s">
        <v>314</v>
      </c>
      <c r="D123" s="13" t="s">
        <v>89</v>
      </c>
      <c r="E123" s="13" t="s">
        <v>13</v>
      </c>
    </row>
    <row r="124" spans="1:10" ht="30" customHeight="1" x14ac:dyDescent="0.15">
      <c r="A124" s="19" t="s">
        <v>315</v>
      </c>
      <c r="B124" s="20" t="s">
        <v>316</v>
      </c>
      <c r="C124" s="20" t="s">
        <v>317</v>
      </c>
      <c r="D124" s="13" t="s">
        <v>87</v>
      </c>
      <c r="E124" s="13" t="s">
        <v>9</v>
      </c>
      <c r="F124" s="21" t="str">
        <f>VLOOKUP($E124,'Приложение 4'!$B$3:$C$19,2,FALSE)</f>
        <v>т</v>
      </c>
      <c r="G124" s="21">
        <v>0</v>
      </c>
      <c r="H124" s="13"/>
      <c r="I124" s="22">
        <v>0</v>
      </c>
      <c r="J124" s="22">
        <f>G124*I124</f>
        <v>0</v>
      </c>
    </row>
    <row r="125" spans="1:10" x14ac:dyDescent="0.15">
      <c r="C125" s="20" t="s">
        <v>318</v>
      </c>
      <c r="D125" s="13" t="s">
        <v>89</v>
      </c>
      <c r="E125" s="13" t="s">
        <v>13</v>
      </c>
    </row>
    <row r="126" spans="1:10" ht="30" customHeight="1" x14ac:dyDescent="0.15">
      <c r="A126" s="19" t="s">
        <v>319</v>
      </c>
      <c r="B126" s="20" t="s">
        <v>320</v>
      </c>
      <c r="C126" s="20" t="s">
        <v>321</v>
      </c>
      <c r="D126" s="13" t="s">
        <v>87</v>
      </c>
      <c r="E126" s="13" t="s">
        <v>9</v>
      </c>
      <c r="F126" s="21" t="str">
        <f>VLOOKUP($E126,'Приложение 4'!$B$3:$C$19,2,FALSE)</f>
        <v>т</v>
      </c>
      <c r="G126" s="21">
        <v>90</v>
      </c>
      <c r="H126" s="13"/>
      <c r="I126" s="22">
        <v>0</v>
      </c>
      <c r="J126" s="22">
        <f>G126*I126</f>
        <v>0</v>
      </c>
    </row>
    <row r="127" spans="1:10" x14ac:dyDescent="0.15">
      <c r="C127" s="20" t="s">
        <v>322</v>
      </c>
      <c r="D127" s="13" t="s">
        <v>89</v>
      </c>
      <c r="E127" s="13" t="s">
        <v>13</v>
      </c>
    </row>
    <row r="128" spans="1:10" ht="30" customHeight="1" x14ac:dyDescent="0.15">
      <c r="A128" s="19" t="s">
        <v>323</v>
      </c>
      <c r="B128" s="20" t="s">
        <v>324</v>
      </c>
      <c r="C128" s="20" t="s">
        <v>325</v>
      </c>
      <c r="D128" s="13" t="s">
        <v>87</v>
      </c>
      <c r="E128" s="13" t="s">
        <v>9</v>
      </c>
      <c r="F128" s="21" t="str">
        <f>VLOOKUP($E128,'Приложение 4'!$B$3:$C$19,2,FALSE)</f>
        <v>т</v>
      </c>
      <c r="G128" s="21">
        <v>0</v>
      </c>
      <c r="H128" s="13"/>
      <c r="I128" s="22">
        <v>0</v>
      </c>
      <c r="J128" s="22">
        <f>G128*I128</f>
        <v>0</v>
      </c>
    </row>
    <row r="129" spans="1:10" x14ac:dyDescent="0.15">
      <c r="C129" s="20" t="s">
        <v>326</v>
      </c>
      <c r="D129" s="13" t="s">
        <v>89</v>
      </c>
      <c r="E129" s="13" t="s">
        <v>13</v>
      </c>
    </row>
    <row r="130" spans="1:10" ht="45" customHeight="1" x14ac:dyDescent="0.15">
      <c r="A130" s="19" t="s">
        <v>327</v>
      </c>
      <c r="B130" s="20" t="s">
        <v>328</v>
      </c>
      <c r="C130" s="20" t="s">
        <v>329</v>
      </c>
      <c r="D130" s="13" t="s">
        <v>87</v>
      </c>
      <c r="E130" s="13" t="s">
        <v>9</v>
      </c>
      <c r="F130" s="21" t="str">
        <f>VLOOKUP($E130,'Приложение 4'!$B$3:$C$19,2,FALSE)</f>
        <v>т</v>
      </c>
      <c r="G130" s="21">
        <v>0</v>
      </c>
      <c r="H130" s="13"/>
      <c r="I130" s="22">
        <v>0</v>
      </c>
      <c r="J130" s="22">
        <f>G130*I130</f>
        <v>0</v>
      </c>
    </row>
    <row r="131" spans="1:10" x14ac:dyDescent="0.15">
      <c r="C131" s="20" t="s">
        <v>330</v>
      </c>
      <c r="D131" s="13" t="s">
        <v>89</v>
      </c>
      <c r="E131" s="13" t="s">
        <v>13</v>
      </c>
    </row>
    <row r="132" spans="1:10" ht="30" customHeight="1" x14ac:dyDescent="0.15">
      <c r="A132" s="19" t="s">
        <v>331</v>
      </c>
      <c r="B132" s="20" t="s">
        <v>332</v>
      </c>
      <c r="C132" s="20" t="s">
        <v>333</v>
      </c>
      <c r="D132" s="13" t="s">
        <v>87</v>
      </c>
      <c r="E132" s="13" t="s">
        <v>9</v>
      </c>
      <c r="F132" s="21" t="str">
        <f>VLOOKUP($E132,'Приложение 4'!$B$3:$C$19,2,FALSE)</f>
        <v>т</v>
      </c>
      <c r="G132" s="21">
        <v>0</v>
      </c>
      <c r="H132" s="13"/>
      <c r="I132" s="22">
        <v>0</v>
      </c>
      <c r="J132" s="22">
        <f>G132*I132</f>
        <v>0</v>
      </c>
    </row>
    <row r="133" spans="1:10" x14ac:dyDescent="0.15">
      <c r="C133" s="20" t="s">
        <v>334</v>
      </c>
      <c r="D133" s="13" t="s">
        <v>89</v>
      </c>
      <c r="E133" s="13" t="s">
        <v>13</v>
      </c>
    </row>
    <row r="134" spans="1:10" ht="30" customHeight="1" x14ac:dyDescent="0.15">
      <c r="A134" s="19" t="s">
        <v>335</v>
      </c>
      <c r="B134" s="20" t="s">
        <v>336</v>
      </c>
      <c r="C134" s="20" t="s">
        <v>337</v>
      </c>
      <c r="D134" s="13" t="s">
        <v>87</v>
      </c>
      <c r="E134" s="13" t="s">
        <v>9</v>
      </c>
      <c r="F134" s="21" t="str">
        <f>VLOOKUP($E134,'Приложение 4'!$B$3:$C$19,2,FALSE)</f>
        <v>т</v>
      </c>
      <c r="G134" s="21">
        <v>0.4</v>
      </c>
      <c r="H134" s="13"/>
      <c r="I134" s="22">
        <v>0</v>
      </c>
      <c r="J134" s="22">
        <f>G134*I134</f>
        <v>0</v>
      </c>
    </row>
    <row r="135" spans="1:10" x14ac:dyDescent="0.15">
      <c r="C135" s="20" t="s">
        <v>338</v>
      </c>
      <c r="D135" s="13" t="s">
        <v>89</v>
      </c>
      <c r="E135" s="13" t="s">
        <v>13</v>
      </c>
    </row>
    <row r="136" spans="1:10" ht="30" customHeight="1" x14ac:dyDescent="0.15">
      <c r="A136" s="19" t="s">
        <v>339</v>
      </c>
      <c r="B136" s="20" t="s">
        <v>340</v>
      </c>
      <c r="C136" s="20" t="s">
        <v>341</v>
      </c>
      <c r="D136" s="13" t="s">
        <v>87</v>
      </c>
      <c r="E136" s="13" t="s">
        <v>9</v>
      </c>
      <c r="F136" s="21" t="str">
        <f>VLOOKUP($E136,'Приложение 4'!$B$3:$C$19,2,FALSE)</f>
        <v>т</v>
      </c>
      <c r="G136" s="21">
        <v>17</v>
      </c>
      <c r="H136" s="13"/>
      <c r="I136" s="22">
        <v>0</v>
      </c>
      <c r="J136" s="22">
        <f>G136*I136</f>
        <v>0</v>
      </c>
    </row>
    <row r="137" spans="1:10" x14ac:dyDescent="0.15">
      <c r="C137" s="20" t="s">
        <v>342</v>
      </c>
      <c r="D137" s="13" t="s">
        <v>89</v>
      </c>
      <c r="E137" s="13" t="s">
        <v>13</v>
      </c>
    </row>
    <row r="138" spans="1:10" ht="30" customHeight="1" x14ac:dyDescent="0.15">
      <c r="A138" s="19" t="s">
        <v>343</v>
      </c>
      <c r="B138" s="20" t="s">
        <v>344</v>
      </c>
      <c r="C138" s="20" t="s">
        <v>345</v>
      </c>
      <c r="D138" s="13" t="s">
        <v>87</v>
      </c>
      <c r="E138" s="13" t="s">
        <v>9</v>
      </c>
      <c r="F138" s="21" t="str">
        <f>VLOOKUP($E138,'Приложение 4'!$B$3:$C$19,2,FALSE)</f>
        <v>т</v>
      </c>
      <c r="G138" s="21">
        <v>0</v>
      </c>
      <c r="H138" s="13"/>
      <c r="I138" s="22">
        <v>0</v>
      </c>
      <c r="J138" s="22">
        <f>G138*I138</f>
        <v>0</v>
      </c>
    </row>
    <row r="139" spans="1:10" x14ac:dyDescent="0.15">
      <c r="C139" s="20" t="s">
        <v>346</v>
      </c>
      <c r="D139" s="13" t="s">
        <v>89</v>
      </c>
      <c r="E139" s="13" t="s">
        <v>13</v>
      </c>
    </row>
    <row r="140" spans="1:10" ht="30" customHeight="1" x14ac:dyDescent="0.15">
      <c r="A140" s="19" t="s">
        <v>347</v>
      </c>
      <c r="B140" s="20" t="s">
        <v>348</v>
      </c>
      <c r="C140" s="20" t="s">
        <v>349</v>
      </c>
      <c r="D140" s="13" t="s">
        <v>87</v>
      </c>
      <c r="E140" s="13" t="s">
        <v>9</v>
      </c>
      <c r="F140" s="21" t="str">
        <f>VLOOKUP($E140,'Приложение 4'!$B$3:$C$19,2,FALSE)</f>
        <v>т</v>
      </c>
      <c r="G140" s="21">
        <v>0.2</v>
      </c>
      <c r="H140" s="13"/>
      <c r="I140" s="22">
        <v>0</v>
      </c>
      <c r="J140" s="22">
        <f>G140*I140</f>
        <v>0</v>
      </c>
    </row>
    <row r="141" spans="1:10" x14ac:dyDescent="0.15">
      <c r="C141" s="20" t="s">
        <v>350</v>
      </c>
      <c r="D141" s="13" t="s">
        <v>89</v>
      </c>
      <c r="E141" s="13" t="s">
        <v>13</v>
      </c>
    </row>
    <row r="142" spans="1:10" ht="30" customHeight="1" x14ac:dyDescent="0.15">
      <c r="A142" s="19" t="s">
        <v>351</v>
      </c>
      <c r="B142" s="20" t="s">
        <v>352</v>
      </c>
      <c r="C142" s="20" t="s">
        <v>353</v>
      </c>
      <c r="D142" s="13" t="s">
        <v>87</v>
      </c>
      <c r="E142" s="13" t="s">
        <v>9</v>
      </c>
      <c r="F142" s="21" t="str">
        <f>VLOOKUP($E142,'Приложение 4'!$B$3:$C$19,2,FALSE)</f>
        <v>т</v>
      </c>
      <c r="G142" s="21">
        <v>0</v>
      </c>
      <c r="H142" s="13"/>
      <c r="I142" s="22">
        <v>0</v>
      </c>
      <c r="J142" s="22">
        <f>G142*I142</f>
        <v>0</v>
      </c>
    </row>
    <row r="143" spans="1:10" x14ac:dyDescent="0.15">
      <c r="C143" s="20" t="s">
        <v>152</v>
      </c>
      <c r="D143" s="13" t="s">
        <v>89</v>
      </c>
      <c r="E143" s="13" t="s">
        <v>13</v>
      </c>
    </row>
    <row r="144" spans="1:10" ht="30" customHeight="1" x14ac:dyDescent="0.15">
      <c r="A144" s="19" t="s">
        <v>354</v>
      </c>
      <c r="B144" s="20" t="s">
        <v>355</v>
      </c>
      <c r="C144" s="20" t="s">
        <v>356</v>
      </c>
      <c r="D144" s="13" t="s">
        <v>87</v>
      </c>
      <c r="E144" s="13" t="s">
        <v>9</v>
      </c>
      <c r="F144" s="21" t="str">
        <f>VLOOKUP($E144,'Приложение 4'!$B$3:$C$19,2,FALSE)</f>
        <v>т</v>
      </c>
      <c r="G144" s="21">
        <v>0.5</v>
      </c>
      <c r="H144" s="13"/>
      <c r="I144" s="22">
        <v>0</v>
      </c>
      <c r="J144" s="22">
        <f>G144*I144</f>
        <v>0</v>
      </c>
    </row>
    <row r="145" spans="1:10" x14ac:dyDescent="0.15">
      <c r="C145" s="20" t="s">
        <v>357</v>
      </c>
      <c r="D145" s="13" t="s">
        <v>89</v>
      </c>
      <c r="E145" s="13" t="s">
        <v>13</v>
      </c>
    </row>
    <row r="146" spans="1:10" ht="30" customHeight="1" x14ac:dyDescent="0.15">
      <c r="A146" s="19" t="s">
        <v>358</v>
      </c>
      <c r="B146" s="20" t="s">
        <v>359</v>
      </c>
      <c r="C146" s="20" t="s">
        <v>360</v>
      </c>
      <c r="D146" s="13" t="s">
        <v>87</v>
      </c>
      <c r="E146" s="13" t="s">
        <v>9</v>
      </c>
      <c r="F146" s="21" t="str">
        <f>VLOOKUP($E146,'Приложение 4'!$B$3:$C$19,2,FALSE)</f>
        <v>т</v>
      </c>
      <c r="G146" s="21">
        <v>2.5</v>
      </c>
      <c r="H146" s="13"/>
      <c r="I146" s="22">
        <v>0</v>
      </c>
      <c r="J146" s="22">
        <f>G146*I146</f>
        <v>0</v>
      </c>
    </row>
    <row r="147" spans="1:10" x14ac:dyDescent="0.15">
      <c r="C147" s="20" t="s">
        <v>361</v>
      </c>
      <c r="D147" s="13" t="s">
        <v>89</v>
      </c>
      <c r="E147" s="13" t="s">
        <v>13</v>
      </c>
    </row>
    <row r="148" spans="1:10" ht="30" customHeight="1" x14ac:dyDescent="0.15">
      <c r="A148" s="19" t="s">
        <v>362</v>
      </c>
      <c r="B148" s="20" t="s">
        <v>363</v>
      </c>
      <c r="C148" s="20" t="s">
        <v>364</v>
      </c>
      <c r="D148" s="13" t="s">
        <v>87</v>
      </c>
      <c r="E148" s="13" t="s">
        <v>9</v>
      </c>
      <c r="F148" s="21" t="str">
        <f>VLOOKUP($E148,'Приложение 4'!$B$3:$C$19,2,FALSE)</f>
        <v>т</v>
      </c>
      <c r="G148" s="21">
        <v>0</v>
      </c>
      <c r="H148" s="13"/>
      <c r="I148" s="22">
        <v>0</v>
      </c>
      <c r="J148" s="22">
        <f>G148*I148</f>
        <v>0</v>
      </c>
    </row>
    <row r="149" spans="1:10" x14ac:dyDescent="0.15">
      <c r="C149" s="20" t="s">
        <v>365</v>
      </c>
      <c r="D149" s="13" t="s">
        <v>89</v>
      </c>
      <c r="E149" s="13" t="s">
        <v>13</v>
      </c>
    </row>
    <row r="150" spans="1:10" ht="30" customHeight="1" x14ac:dyDescent="0.15">
      <c r="A150" s="19" t="s">
        <v>366</v>
      </c>
      <c r="B150" s="20" t="s">
        <v>367</v>
      </c>
      <c r="C150" s="20" t="s">
        <v>368</v>
      </c>
      <c r="D150" s="13" t="s">
        <v>87</v>
      </c>
      <c r="E150" s="13" t="s">
        <v>9</v>
      </c>
      <c r="F150" s="21" t="str">
        <f>VLOOKUP($E150,'Приложение 4'!$B$3:$C$19,2,FALSE)</f>
        <v>т</v>
      </c>
      <c r="G150" s="21">
        <v>0.3</v>
      </c>
      <c r="H150" s="13"/>
      <c r="I150" s="22">
        <v>0</v>
      </c>
      <c r="J150" s="22">
        <f>G150*I150</f>
        <v>0</v>
      </c>
    </row>
    <row r="151" spans="1:10" x14ac:dyDescent="0.15">
      <c r="C151" s="20" t="s">
        <v>369</v>
      </c>
      <c r="D151" s="13" t="s">
        <v>89</v>
      </c>
      <c r="E151" s="13" t="s">
        <v>13</v>
      </c>
    </row>
    <row r="152" spans="1:10" ht="30" customHeight="1" x14ac:dyDescent="0.15">
      <c r="A152" s="19" t="s">
        <v>370</v>
      </c>
      <c r="B152" s="20" t="s">
        <v>371</v>
      </c>
      <c r="C152" s="20" t="s">
        <v>372</v>
      </c>
      <c r="D152" s="13" t="s">
        <v>87</v>
      </c>
      <c r="E152" s="13" t="s">
        <v>9</v>
      </c>
      <c r="F152" s="21" t="str">
        <f>VLOOKUP($E152,'Приложение 4'!$B$3:$C$19,2,FALSE)</f>
        <v>т</v>
      </c>
      <c r="G152" s="21">
        <v>0.8</v>
      </c>
      <c r="H152" s="13"/>
      <c r="I152" s="22">
        <v>0</v>
      </c>
      <c r="J152" s="22">
        <f>G152*I152</f>
        <v>0</v>
      </c>
    </row>
    <row r="153" spans="1:10" x14ac:dyDescent="0.15">
      <c r="C153" s="20" t="s">
        <v>373</v>
      </c>
      <c r="D153" s="13" t="s">
        <v>89</v>
      </c>
      <c r="E153" s="13" t="s">
        <v>13</v>
      </c>
    </row>
    <row r="154" spans="1:10" ht="30" customHeight="1" x14ac:dyDescent="0.15">
      <c r="A154" s="19" t="s">
        <v>374</v>
      </c>
      <c r="B154" s="20" t="s">
        <v>375</v>
      </c>
      <c r="C154" s="20" t="s">
        <v>376</v>
      </c>
      <c r="D154" s="13" t="s">
        <v>87</v>
      </c>
      <c r="E154" s="13" t="s">
        <v>9</v>
      </c>
      <c r="F154" s="21" t="str">
        <f>VLOOKUP($E154,'Приложение 4'!$B$3:$C$19,2,FALSE)</f>
        <v>т</v>
      </c>
      <c r="G154" s="21">
        <v>0.3</v>
      </c>
      <c r="H154" s="13"/>
      <c r="I154" s="22">
        <v>0</v>
      </c>
      <c r="J154" s="22">
        <f>G154*I154</f>
        <v>0</v>
      </c>
    </row>
    <row r="155" spans="1:10" x14ac:dyDescent="0.15">
      <c r="B155" s="20" t="s">
        <v>377</v>
      </c>
      <c r="C155" s="20" t="s">
        <v>378</v>
      </c>
      <c r="D155" s="13" t="s">
        <v>89</v>
      </c>
      <c r="E155" s="13" t="s">
        <v>13</v>
      </c>
    </row>
    <row r="156" spans="1:10" ht="30" customHeight="1" x14ac:dyDescent="0.15">
      <c r="A156" s="19" t="s">
        <v>379</v>
      </c>
      <c r="B156" s="20" t="s">
        <v>380</v>
      </c>
      <c r="C156" s="20" t="s">
        <v>381</v>
      </c>
      <c r="D156" s="13" t="s">
        <v>87</v>
      </c>
      <c r="E156" s="13" t="s">
        <v>9</v>
      </c>
      <c r="F156" s="21" t="str">
        <f>VLOOKUP($E156,'Приложение 4'!$B$3:$C$19,2,FALSE)</f>
        <v>т</v>
      </c>
      <c r="G156" s="21">
        <v>1.2</v>
      </c>
      <c r="H156" s="13"/>
      <c r="I156" s="22">
        <v>0</v>
      </c>
      <c r="J156" s="22">
        <f>G156*I156</f>
        <v>0</v>
      </c>
    </row>
    <row r="157" spans="1:10" x14ac:dyDescent="0.15">
      <c r="C157" s="20" t="s">
        <v>382</v>
      </c>
      <c r="D157" s="13" t="s">
        <v>89</v>
      </c>
      <c r="E157" s="13" t="s">
        <v>13</v>
      </c>
    </row>
    <row r="158" spans="1:10" ht="30" customHeight="1" x14ac:dyDescent="0.15">
      <c r="A158" s="19" t="s">
        <v>383</v>
      </c>
      <c r="B158" s="20" t="s">
        <v>384</v>
      </c>
      <c r="C158" s="20" t="s">
        <v>385</v>
      </c>
      <c r="D158" s="13" t="s">
        <v>87</v>
      </c>
      <c r="E158" s="13" t="s">
        <v>9</v>
      </c>
      <c r="F158" s="21" t="str">
        <f>VLOOKUP($E158,'Приложение 4'!$B$3:$C$19,2,FALSE)</f>
        <v>т</v>
      </c>
      <c r="G158" s="21">
        <v>1.2</v>
      </c>
      <c r="H158" s="13"/>
      <c r="I158" s="22">
        <v>0</v>
      </c>
      <c r="J158" s="22">
        <f>G158*I158</f>
        <v>0</v>
      </c>
    </row>
    <row r="159" spans="1:10" x14ac:dyDescent="0.15">
      <c r="C159" s="20" t="s">
        <v>386</v>
      </c>
      <c r="D159" s="13" t="s">
        <v>89</v>
      </c>
      <c r="E159" s="13" t="s">
        <v>13</v>
      </c>
    </row>
    <row r="160" spans="1:10" ht="30" customHeight="1" x14ac:dyDescent="0.15">
      <c r="A160" s="19" t="s">
        <v>387</v>
      </c>
      <c r="B160" s="20" t="s">
        <v>388</v>
      </c>
      <c r="C160" s="20" t="s">
        <v>389</v>
      </c>
      <c r="D160" s="13" t="s">
        <v>87</v>
      </c>
      <c r="E160" s="13" t="s">
        <v>9</v>
      </c>
      <c r="F160" s="21" t="str">
        <f>VLOOKUP($E160,'Приложение 4'!$B$3:$C$19,2,FALSE)</f>
        <v>т</v>
      </c>
      <c r="G160" s="21">
        <v>0.7</v>
      </c>
      <c r="H160" s="13"/>
      <c r="I160" s="22">
        <v>0</v>
      </c>
      <c r="J160" s="22">
        <f>G160*I160</f>
        <v>0</v>
      </c>
    </row>
    <row r="161" spans="1:10" x14ac:dyDescent="0.15">
      <c r="C161" s="20" t="s">
        <v>390</v>
      </c>
      <c r="D161" s="13" t="s">
        <v>89</v>
      </c>
      <c r="E161" s="13" t="s">
        <v>13</v>
      </c>
    </row>
    <row r="162" spans="1:10" ht="30" customHeight="1" x14ac:dyDescent="0.15">
      <c r="A162" s="19" t="s">
        <v>391</v>
      </c>
      <c r="B162" s="20" t="s">
        <v>392</v>
      </c>
      <c r="C162" s="20" t="s">
        <v>393</v>
      </c>
      <c r="D162" s="13" t="s">
        <v>87</v>
      </c>
      <c r="E162" s="13" t="s">
        <v>9</v>
      </c>
      <c r="F162" s="21" t="str">
        <f>VLOOKUP($E162,'Приложение 4'!$B$3:$C$19,2,FALSE)</f>
        <v>т</v>
      </c>
      <c r="G162" s="21">
        <v>0.3</v>
      </c>
      <c r="H162" s="13"/>
      <c r="I162" s="22">
        <v>0</v>
      </c>
      <c r="J162" s="22">
        <f>G162*I162</f>
        <v>0</v>
      </c>
    </row>
    <row r="163" spans="1:10" x14ac:dyDescent="0.15">
      <c r="C163" s="20" t="s">
        <v>394</v>
      </c>
      <c r="D163" s="13" t="s">
        <v>89</v>
      </c>
      <c r="E163" s="13" t="s">
        <v>13</v>
      </c>
    </row>
    <row r="164" spans="1:10" ht="30" customHeight="1" x14ac:dyDescent="0.15">
      <c r="A164" s="19" t="s">
        <v>395</v>
      </c>
      <c r="B164" s="20" t="s">
        <v>396</v>
      </c>
      <c r="C164" s="20" t="s">
        <v>397</v>
      </c>
      <c r="D164" s="13" t="s">
        <v>87</v>
      </c>
      <c r="E164" s="13" t="s">
        <v>9</v>
      </c>
      <c r="F164" s="21" t="str">
        <f>VLOOKUP($E164,'Приложение 4'!$B$3:$C$19,2,FALSE)</f>
        <v>т</v>
      </c>
      <c r="G164" s="21">
        <v>0</v>
      </c>
      <c r="H164" s="13"/>
      <c r="I164" s="22">
        <v>0</v>
      </c>
      <c r="J164" s="22">
        <f>G164*I164</f>
        <v>0</v>
      </c>
    </row>
    <row r="165" spans="1:10" x14ac:dyDescent="0.15">
      <c r="C165" s="20" t="s">
        <v>398</v>
      </c>
      <c r="D165" s="13" t="s">
        <v>89</v>
      </c>
      <c r="E165" s="13" t="s">
        <v>13</v>
      </c>
    </row>
    <row r="166" spans="1:10" ht="30" customHeight="1" x14ac:dyDescent="0.15">
      <c r="A166" s="19" t="s">
        <v>399</v>
      </c>
      <c r="B166" s="20" t="s">
        <v>400</v>
      </c>
      <c r="C166" s="20" t="s">
        <v>401</v>
      </c>
      <c r="D166" s="13" t="s">
        <v>87</v>
      </c>
      <c r="E166" s="13" t="s">
        <v>9</v>
      </c>
      <c r="F166" s="21" t="str">
        <f>VLOOKUP($E166,'Приложение 4'!$B$3:$C$19,2,FALSE)</f>
        <v>т</v>
      </c>
      <c r="G166" s="21">
        <v>0.5</v>
      </c>
      <c r="H166" s="13"/>
      <c r="I166" s="22">
        <v>0</v>
      </c>
      <c r="J166" s="22">
        <f>G166*I166</f>
        <v>0</v>
      </c>
    </row>
    <row r="167" spans="1:10" x14ac:dyDescent="0.15">
      <c r="C167" s="20" t="s">
        <v>402</v>
      </c>
      <c r="D167" s="13" t="s">
        <v>89</v>
      </c>
      <c r="E167" s="13" t="s">
        <v>13</v>
      </c>
    </row>
    <row r="168" spans="1:10" ht="30" customHeight="1" x14ac:dyDescent="0.15">
      <c r="A168" s="19" t="s">
        <v>403</v>
      </c>
      <c r="B168" s="20" t="s">
        <v>404</v>
      </c>
      <c r="C168" s="20" t="s">
        <v>405</v>
      </c>
      <c r="D168" s="13" t="s">
        <v>87</v>
      </c>
      <c r="E168" s="13" t="s">
        <v>9</v>
      </c>
      <c r="F168" s="21" t="str">
        <f>VLOOKUP($E168,'Приложение 4'!$B$3:$C$19,2,FALSE)</f>
        <v>т</v>
      </c>
      <c r="G168" s="21">
        <v>0</v>
      </c>
      <c r="H168" s="13"/>
      <c r="I168" s="22">
        <v>0</v>
      </c>
      <c r="J168" s="22">
        <f>G168*I168</f>
        <v>0</v>
      </c>
    </row>
    <row r="169" spans="1:10" x14ac:dyDescent="0.15">
      <c r="C169" s="20" t="s">
        <v>406</v>
      </c>
      <c r="D169" s="13" t="s">
        <v>89</v>
      </c>
      <c r="E169" s="13" t="s">
        <v>13</v>
      </c>
    </row>
    <row r="170" spans="1:10" ht="30" customHeight="1" x14ac:dyDescent="0.15">
      <c r="A170" s="19" t="s">
        <v>407</v>
      </c>
      <c r="B170" s="20" t="s">
        <v>408</v>
      </c>
      <c r="C170" s="20" t="s">
        <v>409</v>
      </c>
      <c r="D170" s="13" t="s">
        <v>87</v>
      </c>
      <c r="E170" s="13" t="s">
        <v>9</v>
      </c>
      <c r="F170" s="21" t="str">
        <f>VLOOKUP($E170,'Приложение 4'!$B$3:$C$19,2,FALSE)</f>
        <v>т</v>
      </c>
      <c r="G170" s="21">
        <v>2.8</v>
      </c>
      <c r="H170" s="13"/>
      <c r="I170" s="22">
        <v>0</v>
      </c>
      <c r="J170" s="22">
        <f>G170*I170</f>
        <v>0</v>
      </c>
    </row>
    <row r="171" spans="1:10" x14ac:dyDescent="0.15">
      <c r="C171" s="20" t="s">
        <v>410</v>
      </c>
      <c r="D171" s="13" t="s">
        <v>89</v>
      </c>
      <c r="E171" s="13" t="s">
        <v>13</v>
      </c>
    </row>
    <row r="172" spans="1:10" ht="30" customHeight="1" x14ac:dyDescent="0.15">
      <c r="A172" s="19" t="s">
        <v>411</v>
      </c>
      <c r="B172" s="20" t="s">
        <v>412</v>
      </c>
      <c r="C172" s="20" t="s">
        <v>413</v>
      </c>
      <c r="D172" s="13" t="s">
        <v>87</v>
      </c>
      <c r="E172" s="13" t="s">
        <v>9</v>
      </c>
      <c r="F172" s="21" t="str">
        <f>VLOOKUP($E172,'Приложение 4'!$B$3:$C$19,2,FALSE)</f>
        <v>т</v>
      </c>
      <c r="G172" s="21">
        <v>0</v>
      </c>
      <c r="H172" s="13"/>
      <c r="I172" s="22">
        <v>0</v>
      </c>
      <c r="J172" s="22">
        <f>G172*I172</f>
        <v>0</v>
      </c>
    </row>
    <row r="173" spans="1:10" x14ac:dyDescent="0.15">
      <c r="C173" s="20" t="s">
        <v>414</v>
      </c>
      <c r="D173" s="13" t="s">
        <v>89</v>
      </c>
      <c r="E173" s="13" t="s">
        <v>13</v>
      </c>
    </row>
    <row r="174" spans="1:10" ht="30" customHeight="1" x14ac:dyDescent="0.15">
      <c r="A174" s="19" t="s">
        <v>415</v>
      </c>
      <c r="B174" s="20" t="s">
        <v>416</v>
      </c>
      <c r="C174" s="20" t="s">
        <v>417</v>
      </c>
      <c r="D174" s="13" t="s">
        <v>87</v>
      </c>
      <c r="E174" s="13" t="s">
        <v>9</v>
      </c>
      <c r="F174" s="21" t="str">
        <f>VLOOKUP($E174,'Приложение 4'!$B$3:$C$19,2,FALSE)</f>
        <v>т</v>
      </c>
      <c r="G174" s="21">
        <v>2.5</v>
      </c>
      <c r="H174" s="13"/>
      <c r="I174" s="22">
        <v>0</v>
      </c>
      <c r="J174" s="22">
        <f>G174*I174</f>
        <v>0</v>
      </c>
    </row>
    <row r="175" spans="1:10" x14ac:dyDescent="0.15">
      <c r="C175" s="20" t="s">
        <v>418</v>
      </c>
      <c r="D175" s="13" t="s">
        <v>89</v>
      </c>
      <c r="E175" s="13" t="s">
        <v>13</v>
      </c>
    </row>
    <row r="176" spans="1:10" ht="30" customHeight="1" x14ac:dyDescent="0.15">
      <c r="A176" s="19" t="s">
        <v>419</v>
      </c>
      <c r="B176" s="20" t="s">
        <v>420</v>
      </c>
      <c r="C176" s="20" t="s">
        <v>421</v>
      </c>
      <c r="D176" s="13" t="s">
        <v>87</v>
      </c>
      <c r="E176" s="13" t="s">
        <v>9</v>
      </c>
      <c r="F176" s="21" t="str">
        <f>VLOOKUP($E176,'Приложение 4'!$B$3:$C$19,2,FALSE)</f>
        <v>т</v>
      </c>
      <c r="G176" s="21">
        <v>3</v>
      </c>
      <c r="H176" s="13"/>
      <c r="I176" s="22">
        <v>0</v>
      </c>
      <c r="J176" s="22">
        <f>G176*I176</f>
        <v>0</v>
      </c>
    </row>
    <row r="177" spans="1:10" x14ac:dyDescent="0.15">
      <c r="C177" s="20" t="s">
        <v>422</v>
      </c>
      <c r="D177" s="13" t="s">
        <v>89</v>
      </c>
      <c r="E177" s="13" t="s">
        <v>13</v>
      </c>
    </row>
    <row r="178" spans="1:10" ht="30" customHeight="1" x14ac:dyDescent="0.15">
      <c r="A178" s="19" t="s">
        <v>423</v>
      </c>
      <c r="B178" s="20" t="s">
        <v>424</v>
      </c>
      <c r="C178" s="20" t="s">
        <v>425</v>
      </c>
      <c r="D178" s="13" t="s">
        <v>87</v>
      </c>
      <c r="E178" s="13" t="s">
        <v>9</v>
      </c>
      <c r="F178" s="21" t="str">
        <f>VLOOKUP($E178,'Приложение 4'!$B$3:$C$19,2,FALSE)</f>
        <v>т</v>
      </c>
      <c r="G178" s="21">
        <v>0.4</v>
      </c>
      <c r="H178" s="13"/>
      <c r="I178" s="22">
        <v>0</v>
      </c>
      <c r="J178" s="22">
        <f>G178*I178</f>
        <v>0</v>
      </c>
    </row>
    <row r="179" spans="1:10" x14ac:dyDescent="0.15">
      <c r="C179" s="20" t="s">
        <v>426</v>
      </c>
      <c r="D179" s="13" t="s">
        <v>89</v>
      </c>
      <c r="E179" s="13" t="s">
        <v>13</v>
      </c>
    </row>
    <row r="180" spans="1:10" ht="30" customHeight="1" x14ac:dyDescent="0.15">
      <c r="A180" s="19" t="s">
        <v>427</v>
      </c>
      <c r="B180" s="20" t="s">
        <v>428</v>
      </c>
      <c r="C180" s="20" t="s">
        <v>429</v>
      </c>
      <c r="D180" s="13" t="s">
        <v>87</v>
      </c>
      <c r="E180" s="13" t="s">
        <v>9</v>
      </c>
      <c r="F180" s="21" t="str">
        <f>VLOOKUP($E180,'Приложение 4'!$B$3:$C$19,2,FALSE)</f>
        <v>т</v>
      </c>
      <c r="G180" s="21">
        <v>0.1</v>
      </c>
      <c r="H180" s="13"/>
      <c r="I180" s="22">
        <v>0</v>
      </c>
      <c r="J180" s="22">
        <f>G180*I180</f>
        <v>0</v>
      </c>
    </row>
    <row r="181" spans="1:10" x14ac:dyDescent="0.15">
      <c r="C181" s="20" t="s">
        <v>430</v>
      </c>
      <c r="D181" s="13" t="s">
        <v>89</v>
      </c>
      <c r="E181" s="13" t="s">
        <v>13</v>
      </c>
    </row>
    <row r="182" spans="1:10" ht="60" customHeight="1" x14ac:dyDescent="0.15">
      <c r="A182" s="19" t="s">
        <v>431</v>
      </c>
      <c r="B182" s="20" t="s">
        <v>432</v>
      </c>
      <c r="C182" s="20" t="s">
        <v>433</v>
      </c>
      <c r="D182" s="13" t="s">
        <v>87</v>
      </c>
      <c r="E182" s="13" t="s">
        <v>9</v>
      </c>
      <c r="F182" s="21" t="str">
        <f>VLOOKUP($E182,'Приложение 4'!$B$3:$C$19,2,FALSE)</f>
        <v>т</v>
      </c>
      <c r="G182" s="21">
        <v>0.06</v>
      </c>
      <c r="H182" s="13"/>
      <c r="I182" s="22">
        <v>0</v>
      </c>
      <c r="J182" s="22">
        <f>G182*I182</f>
        <v>0</v>
      </c>
    </row>
    <row r="183" spans="1:10" x14ac:dyDescent="0.15">
      <c r="C183" s="20" t="s">
        <v>434</v>
      </c>
      <c r="D183" s="13" t="s">
        <v>89</v>
      </c>
      <c r="E183" s="13" t="s">
        <v>13</v>
      </c>
    </row>
    <row r="184" spans="1:10" ht="30" customHeight="1" x14ac:dyDescent="0.15">
      <c r="A184" s="19" t="s">
        <v>435</v>
      </c>
      <c r="B184" s="20" t="s">
        <v>436</v>
      </c>
      <c r="C184" s="20" t="s">
        <v>437</v>
      </c>
      <c r="D184" s="13" t="s">
        <v>87</v>
      </c>
      <c r="E184" s="13" t="s">
        <v>9</v>
      </c>
      <c r="F184" s="21" t="str">
        <f>VLOOKUP($E184,'Приложение 4'!$B$3:$C$19,2,FALSE)</f>
        <v>т</v>
      </c>
      <c r="G184" s="21">
        <v>0.2</v>
      </c>
      <c r="H184" s="13"/>
      <c r="I184" s="22">
        <v>0</v>
      </c>
      <c r="J184" s="22">
        <f>G184*I184</f>
        <v>0</v>
      </c>
    </row>
    <row r="185" spans="1:10" x14ac:dyDescent="0.15">
      <c r="C185" s="20" t="s">
        <v>438</v>
      </c>
      <c r="D185" s="13" t="s">
        <v>89</v>
      </c>
      <c r="E185" s="13" t="s">
        <v>13</v>
      </c>
    </row>
    <row r="186" spans="1:10" ht="30" customHeight="1" x14ac:dyDescent="0.15">
      <c r="A186" s="19" t="s">
        <v>439</v>
      </c>
      <c r="B186" s="20" t="s">
        <v>440</v>
      </c>
      <c r="C186" s="20" t="s">
        <v>441</v>
      </c>
      <c r="D186" s="13" t="s">
        <v>87</v>
      </c>
      <c r="E186" s="13" t="s">
        <v>9</v>
      </c>
      <c r="F186" s="21" t="str">
        <f>VLOOKUP($E186,'Приложение 4'!$B$3:$C$19,2,FALSE)</f>
        <v>т</v>
      </c>
      <c r="G186" s="21">
        <v>3.8</v>
      </c>
      <c r="H186" s="13"/>
      <c r="I186" s="22">
        <v>0</v>
      </c>
      <c r="J186" s="22">
        <f>G186*I186</f>
        <v>0</v>
      </c>
    </row>
    <row r="187" spans="1:10" x14ac:dyDescent="0.15">
      <c r="C187" s="20" t="s">
        <v>442</v>
      </c>
      <c r="D187" s="13" t="s">
        <v>89</v>
      </c>
      <c r="E187" s="13" t="s">
        <v>13</v>
      </c>
    </row>
    <row r="188" spans="1:10" ht="30" customHeight="1" x14ac:dyDescent="0.15">
      <c r="A188" s="19" t="s">
        <v>443</v>
      </c>
      <c r="B188" s="20" t="s">
        <v>444</v>
      </c>
      <c r="C188" s="20" t="s">
        <v>445</v>
      </c>
      <c r="D188" s="13" t="s">
        <v>87</v>
      </c>
      <c r="E188" s="13" t="s">
        <v>9</v>
      </c>
      <c r="F188" s="21" t="str">
        <f>VLOOKUP($E188,'Приложение 4'!$B$3:$C$19,2,FALSE)</f>
        <v>т</v>
      </c>
      <c r="G188" s="21">
        <v>0.2</v>
      </c>
      <c r="H188" s="13"/>
      <c r="I188" s="22">
        <v>0</v>
      </c>
      <c r="J188" s="22">
        <f>G188*I188</f>
        <v>0</v>
      </c>
    </row>
    <row r="189" spans="1:10" x14ac:dyDescent="0.15">
      <c r="C189" s="20" t="s">
        <v>446</v>
      </c>
      <c r="D189" s="13" t="s">
        <v>89</v>
      </c>
      <c r="E189" s="13" t="s">
        <v>13</v>
      </c>
    </row>
    <row r="190" spans="1:10" ht="30" customHeight="1" x14ac:dyDescent="0.15">
      <c r="A190" s="19" t="s">
        <v>447</v>
      </c>
      <c r="B190" s="20" t="s">
        <v>448</v>
      </c>
      <c r="C190" s="20" t="s">
        <v>449</v>
      </c>
      <c r="D190" s="13" t="s">
        <v>87</v>
      </c>
      <c r="E190" s="13" t="s">
        <v>9</v>
      </c>
      <c r="F190" s="21" t="str">
        <f>VLOOKUP($E190,'Приложение 4'!$B$3:$C$19,2,FALSE)</f>
        <v>т</v>
      </c>
      <c r="G190" s="21">
        <v>0</v>
      </c>
      <c r="H190" s="13"/>
      <c r="I190" s="22">
        <v>0</v>
      </c>
      <c r="J190" s="22">
        <f>G190*I190</f>
        <v>0</v>
      </c>
    </row>
    <row r="191" spans="1:10" x14ac:dyDescent="0.15">
      <c r="C191" s="20" t="s">
        <v>450</v>
      </c>
      <c r="D191" s="13" t="s">
        <v>89</v>
      </c>
      <c r="E191" s="13" t="s">
        <v>13</v>
      </c>
    </row>
    <row r="192" spans="1:10" ht="30" customHeight="1" x14ac:dyDescent="0.15">
      <c r="A192" s="19" t="s">
        <v>451</v>
      </c>
      <c r="B192" s="20" t="s">
        <v>452</v>
      </c>
      <c r="C192" s="20" t="s">
        <v>453</v>
      </c>
      <c r="D192" s="13" t="s">
        <v>87</v>
      </c>
      <c r="E192" s="13" t="s">
        <v>9</v>
      </c>
      <c r="F192" s="21" t="str">
        <f>VLOOKUP($E192,'Приложение 4'!$B$3:$C$19,2,FALSE)</f>
        <v>т</v>
      </c>
      <c r="G192" s="21">
        <v>0.8</v>
      </c>
      <c r="H192" s="13"/>
      <c r="I192" s="22">
        <v>0</v>
      </c>
      <c r="J192" s="22">
        <f>G192*I192</f>
        <v>0</v>
      </c>
    </row>
    <row r="193" spans="1:10" x14ac:dyDescent="0.15">
      <c r="C193" s="20" t="s">
        <v>454</v>
      </c>
      <c r="D193" s="13" t="s">
        <v>89</v>
      </c>
      <c r="E193" s="13" t="s">
        <v>13</v>
      </c>
    </row>
    <row r="194" spans="1:10" ht="30" customHeight="1" x14ac:dyDescent="0.15">
      <c r="A194" s="19" t="s">
        <v>455</v>
      </c>
      <c r="B194" s="20" t="s">
        <v>456</v>
      </c>
      <c r="C194" s="20" t="s">
        <v>457</v>
      </c>
      <c r="D194" s="13" t="s">
        <v>87</v>
      </c>
      <c r="E194" s="13" t="s">
        <v>9</v>
      </c>
      <c r="F194" s="21" t="str">
        <f>VLOOKUP($E194,'Приложение 4'!$B$3:$C$19,2,FALSE)</f>
        <v>т</v>
      </c>
      <c r="G194" s="21">
        <v>0</v>
      </c>
      <c r="H194" s="13"/>
      <c r="I194" s="22">
        <v>0</v>
      </c>
      <c r="J194" s="22">
        <f>G194*I194</f>
        <v>0</v>
      </c>
    </row>
    <row r="195" spans="1:10" x14ac:dyDescent="0.15">
      <c r="C195" s="20" t="s">
        <v>458</v>
      </c>
      <c r="D195" s="13" t="s">
        <v>89</v>
      </c>
      <c r="E195" s="13" t="s">
        <v>13</v>
      </c>
    </row>
    <row r="196" spans="1:10" ht="30" customHeight="1" x14ac:dyDescent="0.15">
      <c r="A196" s="19" t="s">
        <v>459</v>
      </c>
      <c r="B196" s="20" t="s">
        <v>460</v>
      </c>
      <c r="C196" s="20" t="s">
        <v>461</v>
      </c>
      <c r="D196" s="13" t="s">
        <v>87</v>
      </c>
      <c r="E196" s="13" t="s">
        <v>9</v>
      </c>
      <c r="F196" s="21" t="str">
        <f>VLOOKUP($E196,'Приложение 4'!$B$3:$C$19,2,FALSE)</f>
        <v>т</v>
      </c>
      <c r="G196" s="21">
        <v>0.75</v>
      </c>
      <c r="H196" s="13"/>
      <c r="I196" s="22">
        <v>0</v>
      </c>
      <c r="J196" s="22">
        <f>G196*I196</f>
        <v>0</v>
      </c>
    </row>
    <row r="197" spans="1:10" x14ac:dyDescent="0.15">
      <c r="C197" s="20" t="s">
        <v>462</v>
      </c>
      <c r="D197" s="13" t="s">
        <v>89</v>
      </c>
      <c r="E197" s="13" t="s">
        <v>13</v>
      </c>
    </row>
    <row r="198" spans="1:10" ht="30" customHeight="1" x14ac:dyDescent="0.15">
      <c r="A198" s="19" t="s">
        <v>463</v>
      </c>
      <c r="B198" s="20" t="s">
        <v>464</v>
      </c>
      <c r="C198" s="20" t="s">
        <v>465</v>
      </c>
      <c r="D198" s="13" t="s">
        <v>87</v>
      </c>
      <c r="E198" s="13" t="s">
        <v>9</v>
      </c>
      <c r="F198" s="21" t="str">
        <f>VLOOKUP($E198,'Приложение 4'!$B$3:$C$19,2,FALSE)</f>
        <v>т</v>
      </c>
      <c r="G198" s="21">
        <v>0</v>
      </c>
      <c r="H198" s="13"/>
      <c r="I198" s="22">
        <v>0</v>
      </c>
      <c r="J198" s="22">
        <f>G198*I198</f>
        <v>0</v>
      </c>
    </row>
    <row r="199" spans="1:10" x14ac:dyDescent="0.15">
      <c r="C199" s="20" t="s">
        <v>466</v>
      </c>
      <c r="D199" s="13" t="s">
        <v>89</v>
      </c>
      <c r="E199" s="13" t="s">
        <v>13</v>
      </c>
    </row>
    <row r="200" spans="1:10" ht="30" customHeight="1" x14ac:dyDescent="0.15">
      <c r="A200" s="19" t="s">
        <v>467</v>
      </c>
      <c r="B200" s="20" t="s">
        <v>468</v>
      </c>
      <c r="C200" s="20" t="s">
        <v>469</v>
      </c>
      <c r="D200" s="13" t="s">
        <v>87</v>
      </c>
      <c r="E200" s="13" t="s">
        <v>9</v>
      </c>
      <c r="F200" s="21" t="str">
        <f>VLOOKUP($E200,'Приложение 4'!$B$3:$C$19,2,FALSE)</f>
        <v>т</v>
      </c>
      <c r="G200" s="21">
        <v>0.05</v>
      </c>
      <c r="H200" s="13"/>
      <c r="I200" s="22">
        <v>0</v>
      </c>
      <c r="J200" s="22">
        <f>G200*I200</f>
        <v>0</v>
      </c>
    </row>
    <row r="201" spans="1:10" x14ac:dyDescent="0.15">
      <c r="C201" s="20" t="s">
        <v>470</v>
      </c>
      <c r="D201" s="13" t="s">
        <v>89</v>
      </c>
      <c r="E201" s="13" t="s">
        <v>13</v>
      </c>
    </row>
    <row r="202" spans="1:10" ht="30" customHeight="1" x14ac:dyDescent="0.15">
      <c r="A202" s="19" t="s">
        <v>471</v>
      </c>
      <c r="B202" s="20" t="s">
        <v>472</v>
      </c>
      <c r="C202" s="20" t="s">
        <v>473</v>
      </c>
      <c r="D202" s="13" t="s">
        <v>87</v>
      </c>
      <c r="E202" s="13" t="s">
        <v>9</v>
      </c>
      <c r="F202" s="21" t="str">
        <f>VLOOKUP($E202,'Приложение 4'!$B$3:$C$19,2,FALSE)</f>
        <v>т</v>
      </c>
      <c r="G202" s="21">
        <v>0.8</v>
      </c>
      <c r="H202" s="13"/>
      <c r="I202" s="22">
        <v>0</v>
      </c>
      <c r="J202" s="22">
        <f>G202*I202</f>
        <v>0</v>
      </c>
    </row>
    <row r="203" spans="1:10" x14ac:dyDescent="0.15">
      <c r="C203" s="20" t="s">
        <v>474</v>
      </c>
      <c r="D203" s="13" t="s">
        <v>89</v>
      </c>
      <c r="E203" s="13" t="s">
        <v>13</v>
      </c>
    </row>
    <row r="204" spans="1:10" ht="30" customHeight="1" x14ac:dyDescent="0.15">
      <c r="A204" s="19" t="s">
        <v>475</v>
      </c>
      <c r="B204" s="20" t="s">
        <v>476</v>
      </c>
      <c r="C204" s="20" t="s">
        <v>477</v>
      </c>
      <c r="D204" s="13" t="s">
        <v>87</v>
      </c>
      <c r="E204" s="13" t="s">
        <v>9</v>
      </c>
      <c r="F204" s="21" t="str">
        <f>VLOOKUP($E204,'Приложение 4'!$B$3:$C$19,2,FALSE)</f>
        <v>т</v>
      </c>
      <c r="G204" s="21">
        <v>0</v>
      </c>
      <c r="H204" s="13"/>
      <c r="I204" s="22">
        <v>0</v>
      </c>
      <c r="J204" s="22">
        <f>G204*I204</f>
        <v>0</v>
      </c>
    </row>
    <row r="205" spans="1:10" x14ac:dyDescent="0.15">
      <c r="C205" s="20" t="s">
        <v>478</v>
      </c>
      <c r="D205" s="13" t="s">
        <v>89</v>
      </c>
      <c r="E205" s="13" t="s">
        <v>13</v>
      </c>
    </row>
    <row r="206" spans="1:10" ht="30" customHeight="1" x14ac:dyDescent="0.15">
      <c r="A206" s="19" t="s">
        <v>479</v>
      </c>
      <c r="B206" s="20" t="s">
        <v>480</v>
      </c>
      <c r="C206" s="20" t="s">
        <v>481</v>
      </c>
      <c r="D206" s="13" t="s">
        <v>87</v>
      </c>
      <c r="E206" s="13" t="s">
        <v>9</v>
      </c>
      <c r="F206" s="21" t="str">
        <f>VLOOKUP($E206,'Приложение 4'!$B$3:$C$19,2,FALSE)</f>
        <v>т</v>
      </c>
      <c r="G206" s="21">
        <v>0.05</v>
      </c>
      <c r="H206" s="13"/>
      <c r="I206" s="22">
        <v>0</v>
      </c>
      <c r="J206" s="22">
        <f>G206*I206</f>
        <v>0</v>
      </c>
    </row>
    <row r="207" spans="1:10" x14ac:dyDescent="0.15">
      <c r="C207" s="20" t="s">
        <v>482</v>
      </c>
      <c r="D207" s="13" t="s">
        <v>89</v>
      </c>
      <c r="E207" s="13" t="s">
        <v>13</v>
      </c>
    </row>
    <row r="208" spans="1:10" ht="30" customHeight="1" x14ac:dyDescent="0.15">
      <c r="A208" s="19" t="s">
        <v>483</v>
      </c>
      <c r="B208" s="20" t="s">
        <v>484</v>
      </c>
      <c r="C208" s="20" t="s">
        <v>485</v>
      </c>
      <c r="D208" s="13" t="s">
        <v>87</v>
      </c>
      <c r="E208" s="13" t="s">
        <v>9</v>
      </c>
      <c r="F208" s="21" t="str">
        <f>VLOOKUP($E208,'Приложение 4'!$B$3:$C$19,2,FALSE)</f>
        <v>т</v>
      </c>
      <c r="G208" s="21">
        <v>0.75</v>
      </c>
      <c r="H208" s="13"/>
      <c r="I208" s="22">
        <v>0</v>
      </c>
      <c r="J208" s="22">
        <f>G208*I208</f>
        <v>0</v>
      </c>
    </row>
    <row r="209" spans="1:10" x14ac:dyDescent="0.15">
      <c r="C209" s="20" t="s">
        <v>486</v>
      </c>
      <c r="D209" s="13" t="s">
        <v>89</v>
      </c>
      <c r="E209" s="13" t="s">
        <v>13</v>
      </c>
    </row>
    <row r="210" spans="1:10" ht="30" customHeight="1" x14ac:dyDescent="0.15">
      <c r="A210" s="19" t="s">
        <v>487</v>
      </c>
      <c r="B210" s="20" t="s">
        <v>488</v>
      </c>
      <c r="C210" s="20" t="s">
        <v>489</v>
      </c>
      <c r="D210" s="13" t="s">
        <v>87</v>
      </c>
      <c r="E210" s="13" t="s">
        <v>9</v>
      </c>
      <c r="F210" s="21" t="str">
        <f>VLOOKUP($E210,'Приложение 4'!$B$3:$C$19,2,FALSE)</f>
        <v>т</v>
      </c>
      <c r="G210" s="21">
        <v>0</v>
      </c>
      <c r="H210" s="13"/>
      <c r="I210" s="22">
        <v>0</v>
      </c>
      <c r="J210" s="22">
        <f>G210*I210</f>
        <v>0</v>
      </c>
    </row>
    <row r="211" spans="1:10" x14ac:dyDescent="0.15">
      <c r="C211" s="20" t="s">
        <v>490</v>
      </c>
      <c r="D211" s="13" t="s">
        <v>89</v>
      </c>
      <c r="E211" s="13" t="s">
        <v>13</v>
      </c>
    </row>
    <row r="212" spans="1:10" ht="30" customHeight="1" x14ac:dyDescent="0.15">
      <c r="A212" s="19" t="s">
        <v>491</v>
      </c>
      <c r="B212" s="20" t="s">
        <v>492</v>
      </c>
      <c r="C212" s="20" t="s">
        <v>493</v>
      </c>
      <c r="D212" s="13" t="s">
        <v>87</v>
      </c>
      <c r="E212" s="13" t="s">
        <v>9</v>
      </c>
      <c r="F212" s="21" t="str">
        <f>VLOOKUP($E212,'Приложение 4'!$B$3:$C$19,2,FALSE)</f>
        <v>т</v>
      </c>
      <c r="G212" s="21">
        <v>0.05</v>
      </c>
      <c r="H212" s="13"/>
      <c r="I212" s="22">
        <v>0</v>
      </c>
      <c r="J212" s="22">
        <f>G212*I212</f>
        <v>0</v>
      </c>
    </row>
    <row r="213" spans="1:10" x14ac:dyDescent="0.15">
      <c r="C213" s="20" t="s">
        <v>494</v>
      </c>
      <c r="D213" s="13" t="s">
        <v>89</v>
      </c>
      <c r="E213" s="13" t="s">
        <v>13</v>
      </c>
    </row>
    <row r="214" spans="1:10" ht="30" customHeight="1" x14ac:dyDescent="0.15">
      <c r="A214" s="19" t="s">
        <v>495</v>
      </c>
      <c r="B214" s="20" t="s">
        <v>496</v>
      </c>
      <c r="C214" s="20" t="s">
        <v>497</v>
      </c>
      <c r="D214" s="13" t="s">
        <v>87</v>
      </c>
      <c r="E214" s="13" t="s">
        <v>9</v>
      </c>
      <c r="F214" s="21" t="str">
        <f>VLOOKUP($E214,'Приложение 4'!$B$3:$C$19,2,FALSE)</f>
        <v>т</v>
      </c>
      <c r="G214" s="21">
        <v>0.05</v>
      </c>
      <c r="H214" s="13"/>
      <c r="I214" s="22">
        <v>0</v>
      </c>
      <c r="J214" s="22">
        <f>G214*I214</f>
        <v>0</v>
      </c>
    </row>
    <row r="215" spans="1:10" x14ac:dyDescent="0.15">
      <c r="C215" s="20" t="s">
        <v>498</v>
      </c>
      <c r="D215" s="13" t="s">
        <v>89</v>
      </c>
      <c r="E215" s="13" t="s">
        <v>13</v>
      </c>
    </row>
    <row r="216" spans="1:10" ht="30" customHeight="1" x14ac:dyDescent="0.15">
      <c r="A216" s="19" t="s">
        <v>499</v>
      </c>
      <c r="B216" s="20" t="s">
        <v>500</v>
      </c>
      <c r="C216" s="20" t="s">
        <v>501</v>
      </c>
      <c r="D216" s="13" t="s">
        <v>87</v>
      </c>
      <c r="E216" s="13" t="s">
        <v>9</v>
      </c>
      <c r="F216" s="21" t="str">
        <f>VLOOKUP($E216,'Приложение 4'!$B$3:$C$19,2,FALSE)</f>
        <v>т</v>
      </c>
      <c r="G216" s="21">
        <v>3.8</v>
      </c>
      <c r="H216" s="13"/>
      <c r="I216" s="22">
        <v>0</v>
      </c>
      <c r="J216" s="22">
        <f>G216*I216</f>
        <v>0</v>
      </c>
    </row>
    <row r="217" spans="1:10" x14ac:dyDescent="0.15">
      <c r="C217" s="20" t="s">
        <v>502</v>
      </c>
      <c r="D217" s="13" t="s">
        <v>89</v>
      </c>
      <c r="E217" s="13" t="s">
        <v>13</v>
      </c>
    </row>
    <row r="218" spans="1:10" ht="45" customHeight="1" x14ac:dyDescent="0.15">
      <c r="A218" s="19" t="s">
        <v>503</v>
      </c>
      <c r="B218" s="20" t="s">
        <v>504</v>
      </c>
      <c r="C218" s="20" t="s">
        <v>505</v>
      </c>
      <c r="D218" s="13" t="s">
        <v>87</v>
      </c>
      <c r="E218" s="13" t="s">
        <v>9</v>
      </c>
      <c r="F218" s="21" t="str">
        <f>VLOOKUP($E218,'Приложение 4'!$B$3:$C$19,2,FALSE)</f>
        <v>т</v>
      </c>
      <c r="G218" s="21">
        <v>0</v>
      </c>
      <c r="H218" s="13"/>
      <c r="I218" s="22">
        <v>0</v>
      </c>
      <c r="J218" s="22">
        <f>G218*I218</f>
        <v>0</v>
      </c>
    </row>
    <row r="219" spans="1:10" x14ac:dyDescent="0.15">
      <c r="C219" s="20" t="s">
        <v>506</v>
      </c>
      <c r="D219" s="13" t="s">
        <v>89</v>
      </c>
      <c r="E219" s="13" t="s">
        <v>13</v>
      </c>
    </row>
    <row r="220" spans="1:10" ht="30" customHeight="1" x14ac:dyDescent="0.15">
      <c r="A220" s="19" t="s">
        <v>507</v>
      </c>
      <c r="B220" s="20" t="s">
        <v>508</v>
      </c>
      <c r="C220" s="20" t="s">
        <v>509</v>
      </c>
      <c r="D220" s="13" t="s">
        <v>87</v>
      </c>
      <c r="E220" s="13" t="s">
        <v>9</v>
      </c>
      <c r="F220" s="21" t="str">
        <f>VLOOKUP($E220,'Приложение 4'!$B$3:$C$19,2,FALSE)</f>
        <v>т</v>
      </c>
      <c r="G220" s="21">
        <v>2</v>
      </c>
      <c r="H220" s="13"/>
      <c r="I220" s="22">
        <v>0</v>
      </c>
      <c r="J220" s="22">
        <f>G220*I220</f>
        <v>0</v>
      </c>
    </row>
    <row r="221" spans="1:10" x14ac:dyDescent="0.15">
      <c r="C221" s="20" t="s">
        <v>510</v>
      </c>
      <c r="D221" s="13" t="s">
        <v>89</v>
      </c>
      <c r="E221" s="13" t="s">
        <v>13</v>
      </c>
    </row>
    <row r="222" spans="1:10" ht="30" customHeight="1" x14ac:dyDescent="0.15">
      <c r="A222" s="19" t="s">
        <v>511</v>
      </c>
      <c r="B222" s="20" t="s">
        <v>512</v>
      </c>
      <c r="C222" s="20" t="s">
        <v>513</v>
      </c>
      <c r="D222" s="13" t="s">
        <v>87</v>
      </c>
      <c r="E222" s="13" t="s">
        <v>9</v>
      </c>
      <c r="F222" s="21" t="str">
        <f>VLOOKUP($E222,'Приложение 4'!$B$3:$C$19,2,FALSE)</f>
        <v>т</v>
      </c>
      <c r="G222" s="21">
        <v>3.8</v>
      </c>
      <c r="H222" s="13"/>
      <c r="I222" s="22">
        <v>0</v>
      </c>
      <c r="J222" s="22">
        <f>G222*I222</f>
        <v>0</v>
      </c>
    </row>
    <row r="223" spans="1:10" x14ac:dyDescent="0.15">
      <c r="C223" s="20" t="s">
        <v>514</v>
      </c>
      <c r="D223" s="13" t="s">
        <v>89</v>
      </c>
      <c r="E223" s="13" t="s">
        <v>13</v>
      </c>
    </row>
    <row r="224" spans="1:10" ht="45" customHeight="1" x14ac:dyDescent="0.15">
      <c r="A224" s="19" t="s">
        <v>515</v>
      </c>
      <c r="B224" s="20" t="s">
        <v>516</v>
      </c>
      <c r="C224" s="20" t="s">
        <v>517</v>
      </c>
      <c r="D224" s="13" t="s">
        <v>87</v>
      </c>
      <c r="E224" s="13" t="s">
        <v>9</v>
      </c>
      <c r="F224" s="21" t="str">
        <f>VLOOKUP($E224,'Приложение 4'!$B$3:$C$19,2,FALSE)</f>
        <v>т</v>
      </c>
      <c r="G224" s="21">
        <v>0</v>
      </c>
      <c r="H224" s="13"/>
      <c r="I224" s="22">
        <v>0</v>
      </c>
      <c r="J224" s="22">
        <f>G224*I224</f>
        <v>0</v>
      </c>
    </row>
    <row r="225" spans="1:10" x14ac:dyDescent="0.15">
      <c r="C225" s="20" t="s">
        <v>518</v>
      </c>
      <c r="D225" s="13" t="s">
        <v>89</v>
      </c>
      <c r="E225" s="13" t="s">
        <v>13</v>
      </c>
    </row>
    <row r="226" spans="1:10" ht="30" customHeight="1" x14ac:dyDescent="0.15">
      <c r="A226" s="19" t="s">
        <v>519</v>
      </c>
      <c r="B226" s="20" t="s">
        <v>520</v>
      </c>
      <c r="C226" s="20" t="s">
        <v>521</v>
      </c>
      <c r="D226" s="13" t="s">
        <v>87</v>
      </c>
      <c r="E226" s="13" t="s">
        <v>9</v>
      </c>
      <c r="F226" s="21" t="str">
        <f>VLOOKUP($E226,'Приложение 4'!$B$3:$C$19,2,FALSE)</f>
        <v>т</v>
      </c>
      <c r="G226" s="21">
        <v>3.8</v>
      </c>
      <c r="H226" s="13"/>
      <c r="I226" s="22">
        <v>0</v>
      </c>
      <c r="J226" s="22">
        <f>G226*I226</f>
        <v>0</v>
      </c>
    </row>
    <row r="227" spans="1:10" x14ac:dyDescent="0.15">
      <c r="C227" s="20" t="s">
        <v>522</v>
      </c>
      <c r="D227" s="13" t="s">
        <v>89</v>
      </c>
      <c r="E227" s="13" t="s">
        <v>13</v>
      </c>
    </row>
    <row r="228" spans="1:10" ht="30" customHeight="1" x14ac:dyDescent="0.15">
      <c r="A228" s="19" t="s">
        <v>523</v>
      </c>
      <c r="B228" s="20" t="s">
        <v>524</v>
      </c>
      <c r="C228" s="20" t="s">
        <v>525</v>
      </c>
      <c r="D228" s="13" t="s">
        <v>87</v>
      </c>
      <c r="E228" s="13" t="s">
        <v>9</v>
      </c>
      <c r="F228" s="21" t="str">
        <f>VLOOKUP($E228,'Приложение 4'!$B$3:$C$19,2,FALSE)</f>
        <v>т</v>
      </c>
      <c r="G228" s="21">
        <v>2</v>
      </c>
      <c r="H228" s="13"/>
      <c r="I228" s="22">
        <v>0</v>
      </c>
      <c r="J228" s="22">
        <f>G228*I228</f>
        <v>0</v>
      </c>
    </row>
    <row r="229" spans="1:10" x14ac:dyDescent="0.15">
      <c r="C229" s="20" t="s">
        <v>526</v>
      </c>
      <c r="D229" s="13" t="s">
        <v>89</v>
      </c>
      <c r="E229" s="13" t="s">
        <v>13</v>
      </c>
    </row>
    <row r="230" spans="1:10" ht="30" customHeight="1" x14ac:dyDescent="0.15">
      <c r="A230" s="19" t="s">
        <v>527</v>
      </c>
      <c r="B230" s="20" t="s">
        <v>528</v>
      </c>
      <c r="C230" s="20" t="s">
        <v>529</v>
      </c>
      <c r="D230" s="13" t="s">
        <v>87</v>
      </c>
      <c r="E230" s="13" t="s">
        <v>9</v>
      </c>
      <c r="F230" s="21" t="str">
        <f>VLOOKUP($E230,'Приложение 4'!$B$3:$C$19,2,FALSE)</f>
        <v>т</v>
      </c>
      <c r="G230" s="21">
        <v>0</v>
      </c>
      <c r="H230" s="13"/>
      <c r="I230" s="22">
        <v>0</v>
      </c>
      <c r="J230" s="22">
        <f>G230*I230</f>
        <v>0</v>
      </c>
    </row>
    <row r="231" spans="1:10" x14ac:dyDescent="0.15">
      <c r="C231" s="20" t="s">
        <v>530</v>
      </c>
      <c r="D231" s="13" t="s">
        <v>89</v>
      </c>
      <c r="E231" s="13" t="s">
        <v>13</v>
      </c>
    </row>
    <row r="232" spans="1:10" ht="30" customHeight="1" x14ac:dyDescent="0.15">
      <c r="A232" s="19" t="s">
        <v>531</v>
      </c>
      <c r="B232" s="20" t="s">
        <v>532</v>
      </c>
      <c r="C232" s="20" t="s">
        <v>533</v>
      </c>
      <c r="D232" s="13" t="s">
        <v>87</v>
      </c>
      <c r="E232" s="13" t="s">
        <v>9</v>
      </c>
      <c r="F232" s="21" t="str">
        <f>VLOOKUP($E232,'Приложение 4'!$B$3:$C$19,2,FALSE)</f>
        <v>т</v>
      </c>
      <c r="G232" s="21">
        <v>2.5</v>
      </c>
      <c r="H232" s="13"/>
      <c r="I232" s="22">
        <v>0</v>
      </c>
      <c r="J232" s="22">
        <f>G232*I232</f>
        <v>0</v>
      </c>
    </row>
    <row r="233" spans="1:10" x14ac:dyDescent="0.15">
      <c r="C233" s="20" t="s">
        <v>534</v>
      </c>
      <c r="D233" s="13" t="s">
        <v>89</v>
      </c>
      <c r="E233" s="13" t="s">
        <v>13</v>
      </c>
    </row>
    <row r="234" spans="1:10" ht="30" customHeight="1" x14ac:dyDescent="0.15">
      <c r="A234" s="19" t="s">
        <v>535</v>
      </c>
      <c r="B234" s="20" t="s">
        <v>536</v>
      </c>
      <c r="C234" s="20" t="s">
        <v>537</v>
      </c>
      <c r="D234" s="13" t="s">
        <v>87</v>
      </c>
      <c r="E234" s="13" t="s">
        <v>9</v>
      </c>
      <c r="F234" s="21" t="str">
        <f>VLOOKUP($E234,'Приложение 4'!$B$3:$C$19,2,FALSE)</f>
        <v>т</v>
      </c>
      <c r="G234" s="21">
        <v>2.5</v>
      </c>
      <c r="H234" s="13"/>
      <c r="I234" s="22">
        <v>0</v>
      </c>
      <c r="J234" s="22">
        <f>G234*I234</f>
        <v>0</v>
      </c>
    </row>
    <row r="235" spans="1:10" x14ac:dyDescent="0.15">
      <c r="C235" s="20" t="s">
        <v>538</v>
      </c>
      <c r="D235" s="13" t="s">
        <v>89</v>
      </c>
      <c r="E235" s="13" t="s">
        <v>13</v>
      </c>
    </row>
    <row r="236" spans="1:10" ht="30" customHeight="1" x14ac:dyDescent="0.15">
      <c r="A236" s="19" t="s">
        <v>539</v>
      </c>
      <c r="B236" s="20" t="s">
        <v>540</v>
      </c>
      <c r="C236" s="20" t="s">
        <v>541</v>
      </c>
      <c r="D236" s="13" t="s">
        <v>87</v>
      </c>
      <c r="E236" s="13" t="s">
        <v>9</v>
      </c>
      <c r="F236" s="21" t="str">
        <f>VLOOKUP($E236,'Приложение 4'!$B$3:$C$19,2,FALSE)</f>
        <v>т</v>
      </c>
      <c r="G236" s="21">
        <v>18</v>
      </c>
      <c r="H236" s="13"/>
      <c r="I236" s="22">
        <v>0</v>
      </c>
      <c r="J236" s="22">
        <f>G236*I236</f>
        <v>0</v>
      </c>
    </row>
    <row r="237" spans="1:10" x14ac:dyDescent="0.15">
      <c r="C237" s="20" t="s">
        <v>542</v>
      </c>
      <c r="D237" s="13" t="s">
        <v>89</v>
      </c>
      <c r="E237" s="13" t="s">
        <v>13</v>
      </c>
    </row>
    <row r="238" spans="1:10" ht="30" customHeight="1" x14ac:dyDescent="0.15">
      <c r="A238" s="19" t="s">
        <v>543</v>
      </c>
      <c r="B238" s="20" t="s">
        <v>544</v>
      </c>
      <c r="C238" s="20" t="s">
        <v>545</v>
      </c>
      <c r="D238" s="13" t="s">
        <v>87</v>
      </c>
      <c r="E238" s="13" t="s">
        <v>9</v>
      </c>
      <c r="F238" s="21" t="str">
        <f>VLOOKUP($E238,'Приложение 4'!$B$3:$C$19,2,FALSE)</f>
        <v>т</v>
      </c>
      <c r="G238" s="21">
        <v>0.1</v>
      </c>
      <c r="H238" s="13"/>
      <c r="I238" s="22">
        <v>0</v>
      </c>
      <c r="J238" s="22">
        <f>G238*I238</f>
        <v>0</v>
      </c>
    </row>
    <row r="239" spans="1:10" x14ac:dyDescent="0.15">
      <c r="C239" s="20" t="s">
        <v>546</v>
      </c>
      <c r="D239" s="13" t="s">
        <v>89</v>
      </c>
      <c r="E239" s="13" t="s">
        <v>13</v>
      </c>
    </row>
    <row r="240" spans="1:10" ht="30" customHeight="1" x14ac:dyDescent="0.15">
      <c r="A240" s="19" t="s">
        <v>547</v>
      </c>
      <c r="B240" s="20" t="s">
        <v>548</v>
      </c>
      <c r="C240" s="20" t="s">
        <v>549</v>
      </c>
      <c r="D240" s="13" t="s">
        <v>87</v>
      </c>
      <c r="E240" s="13" t="s">
        <v>9</v>
      </c>
      <c r="F240" s="21" t="str">
        <f>VLOOKUP($E240,'Приложение 4'!$B$3:$C$19,2,FALSE)</f>
        <v>т</v>
      </c>
      <c r="G240" s="21">
        <v>0.1</v>
      </c>
      <c r="H240" s="13"/>
      <c r="I240" s="22">
        <v>0</v>
      </c>
      <c r="J240" s="22">
        <f>G240*I240</f>
        <v>0</v>
      </c>
    </row>
    <row r="241" spans="1:10" x14ac:dyDescent="0.15">
      <c r="C241" s="20" t="s">
        <v>550</v>
      </c>
      <c r="D241" s="13" t="s">
        <v>89</v>
      </c>
      <c r="E241" s="13" t="s">
        <v>13</v>
      </c>
    </row>
    <row r="242" spans="1:10" ht="60" customHeight="1" x14ac:dyDescent="0.15">
      <c r="A242" s="19" t="s">
        <v>551</v>
      </c>
      <c r="B242" s="20" t="s">
        <v>552</v>
      </c>
      <c r="C242" s="20" t="s">
        <v>553</v>
      </c>
      <c r="D242" s="13" t="s">
        <v>87</v>
      </c>
      <c r="E242" s="13" t="s">
        <v>9</v>
      </c>
      <c r="F242" s="21" t="str">
        <f>VLOOKUP($E242,'Приложение 4'!$B$3:$C$19,2,FALSE)</f>
        <v>т</v>
      </c>
      <c r="G242" s="21">
        <v>0.06</v>
      </c>
      <c r="H242" s="13"/>
      <c r="I242" s="22">
        <v>0</v>
      </c>
      <c r="J242" s="22">
        <f>G242*I242</f>
        <v>0</v>
      </c>
    </row>
    <row r="243" spans="1:10" x14ac:dyDescent="0.15">
      <c r="C243" s="20" t="s">
        <v>554</v>
      </c>
      <c r="D243" s="13" t="s">
        <v>89</v>
      </c>
      <c r="E243" s="13" t="s">
        <v>13</v>
      </c>
    </row>
    <row r="244" spans="1:10" ht="30" customHeight="1" x14ac:dyDescent="0.15">
      <c r="A244" s="19" t="s">
        <v>555</v>
      </c>
      <c r="B244" s="20" t="s">
        <v>556</v>
      </c>
      <c r="C244" s="20" t="s">
        <v>557</v>
      </c>
      <c r="D244" s="13" t="s">
        <v>87</v>
      </c>
      <c r="E244" s="13" t="s">
        <v>9</v>
      </c>
      <c r="F244" s="21" t="str">
        <f>VLOOKUP($E244,'Приложение 4'!$B$3:$C$19,2,FALSE)</f>
        <v>т</v>
      </c>
      <c r="G244" s="21">
        <v>3.8</v>
      </c>
      <c r="H244" s="13"/>
      <c r="I244" s="22">
        <v>0</v>
      </c>
      <c r="J244" s="22">
        <f>G244*I244</f>
        <v>0</v>
      </c>
    </row>
    <row r="245" spans="1:10" x14ac:dyDescent="0.15">
      <c r="C245" s="20" t="s">
        <v>558</v>
      </c>
      <c r="D245" s="13" t="s">
        <v>89</v>
      </c>
      <c r="E245" s="13" t="s">
        <v>13</v>
      </c>
    </row>
    <row r="246" spans="1:10" ht="30" customHeight="1" x14ac:dyDescent="0.15">
      <c r="A246" s="19" t="s">
        <v>559</v>
      </c>
      <c r="B246" s="20" t="s">
        <v>560</v>
      </c>
      <c r="C246" s="20" t="s">
        <v>561</v>
      </c>
      <c r="D246" s="13" t="s">
        <v>87</v>
      </c>
      <c r="E246" s="13" t="s">
        <v>9</v>
      </c>
      <c r="F246" s="21" t="str">
        <f>VLOOKUP($E246,'Приложение 4'!$B$3:$C$19,2,FALSE)</f>
        <v>т</v>
      </c>
      <c r="G246" s="21">
        <v>0.3</v>
      </c>
      <c r="H246" s="13"/>
      <c r="I246" s="22">
        <v>0</v>
      </c>
      <c r="J246" s="22">
        <f>G246*I246</f>
        <v>0</v>
      </c>
    </row>
    <row r="247" spans="1:10" x14ac:dyDescent="0.15">
      <c r="C247" s="20" t="s">
        <v>562</v>
      </c>
      <c r="D247" s="13" t="s">
        <v>89</v>
      </c>
      <c r="E247" s="13" t="s">
        <v>13</v>
      </c>
    </row>
    <row r="248" spans="1:10" ht="30" customHeight="1" x14ac:dyDescent="0.15">
      <c r="A248" s="19" t="s">
        <v>563</v>
      </c>
      <c r="B248" s="20" t="s">
        <v>564</v>
      </c>
      <c r="C248" s="20" t="s">
        <v>565</v>
      </c>
      <c r="D248" s="13" t="s">
        <v>87</v>
      </c>
      <c r="E248" s="13" t="s">
        <v>9</v>
      </c>
      <c r="F248" s="21" t="str">
        <f>VLOOKUP($E248,'Приложение 4'!$B$3:$C$19,2,FALSE)</f>
        <v>т</v>
      </c>
      <c r="G248" s="21">
        <v>0</v>
      </c>
      <c r="H248" s="13"/>
      <c r="I248" s="22">
        <v>0</v>
      </c>
      <c r="J248" s="22">
        <f>G248*I248</f>
        <v>0</v>
      </c>
    </row>
    <row r="249" spans="1:10" x14ac:dyDescent="0.15">
      <c r="C249" s="20" t="s">
        <v>450</v>
      </c>
      <c r="D249" s="13" t="s">
        <v>89</v>
      </c>
      <c r="E249" s="13" t="s">
        <v>13</v>
      </c>
    </row>
    <row r="250" spans="1:10" ht="30" customHeight="1" x14ac:dyDescent="0.15">
      <c r="A250" s="19" t="s">
        <v>566</v>
      </c>
      <c r="B250" s="20" t="s">
        <v>567</v>
      </c>
      <c r="C250" s="20" t="s">
        <v>568</v>
      </c>
      <c r="D250" s="13" t="s">
        <v>87</v>
      </c>
      <c r="E250" s="13" t="s">
        <v>9</v>
      </c>
      <c r="F250" s="21" t="str">
        <f>VLOOKUP($E250,'Приложение 4'!$B$3:$C$19,2,FALSE)</f>
        <v>т</v>
      </c>
      <c r="G250" s="21">
        <v>0.2</v>
      </c>
      <c r="H250" s="13"/>
      <c r="I250" s="22">
        <v>0</v>
      </c>
      <c r="J250" s="22">
        <f>G250*I250</f>
        <v>0</v>
      </c>
    </row>
    <row r="251" spans="1:10" x14ac:dyDescent="0.15">
      <c r="C251" s="20" t="s">
        <v>569</v>
      </c>
      <c r="D251" s="13" t="s">
        <v>89</v>
      </c>
      <c r="E251" s="13" t="s">
        <v>13</v>
      </c>
    </row>
    <row r="252" spans="1:10" ht="30" customHeight="1" x14ac:dyDescent="0.15">
      <c r="A252" s="19" t="s">
        <v>570</v>
      </c>
      <c r="B252" s="20" t="s">
        <v>571</v>
      </c>
      <c r="C252" s="20" t="s">
        <v>572</v>
      </c>
      <c r="D252" s="13" t="s">
        <v>87</v>
      </c>
      <c r="E252" s="13" t="s">
        <v>9</v>
      </c>
      <c r="F252" s="21" t="str">
        <f>VLOOKUP($E252,'Приложение 4'!$B$3:$C$19,2,FALSE)</f>
        <v>т</v>
      </c>
      <c r="G252" s="21">
        <v>0.8</v>
      </c>
      <c r="H252" s="13"/>
      <c r="I252" s="22">
        <v>0</v>
      </c>
      <c r="J252" s="22">
        <f>G252*I252</f>
        <v>0</v>
      </c>
    </row>
    <row r="253" spans="1:10" x14ac:dyDescent="0.15">
      <c r="C253" s="20" t="s">
        <v>573</v>
      </c>
      <c r="D253" s="13" t="s">
        <v>89</v>
      </c>
      <c r="E253" s="13" t="s">
        <v>13</v>
      </c>
    </row>
    <row r="254" spans="1:10" ht="30" customHeight="1" x14ac:dyDescent="0.15">
      <c r="A254" s="19" t="s">
        <v>574</v>
      </c>
      <c r="B254" s="20" t="s">
        <v>575</v>
      </c>
      <c r="C254" s="20" t="s">
        <v>576</v>
      </c>
      <c r="D254" s="13" t="s">
        <v>87</v>
      </c>
      <c r="E254" s="13" t="s">
        <v>9</v>
      </c>
      <c r="F254" s="21" t="str">
        <f>VLOOKUP($E254,'Приложение 4'!$B$3:$C$19,2,FALSE)</f>
        <v>т</v>
      </c>
      <c r="G254" s="38">
        <v>1.2</v>
      </c>
      <c r="H254" s="42"/>
      <c r="I254" s="41">
        <v>0</v>
      </c>
      <c r="J254" s="41">
        <f>G254*I254</f>
        <v>0</v>
      </c>
    </row>
    <row r="255" spans="1:10" x14ac:dyDescent="0.15">
      <c r="C255" s="20" t="s">
        <v>577</v>
      </c>
      <c r="D255" s="13" t="s">
        <v>89</v>
      </c>
      <c r="E255" s="13" t="s">
        <v>13</v>
      </c>
      <c r="G255" s="39"/>
      <c r="H255" s="39"/>
      <c r="I255" s="39"/>
      <c r="J255" s="39"/>
    </row>
    <row r="256" spans="1:10" ht="30" customHeight="1" x14ac:dyDescent="0.15">
      <c r="A256" s="19" t="s">
        <v>578</v>
      </c>
      <c r="B256" s="20" t="s">
        <v>579</v>
      </c>
      <c r="C256" s="20" t="s">
        <v>469</v>
      </c>
      <c r="D256" s="13" t="s">
        <v>87</v>
      </c>
      <c r="E256" s="13" t="s">
        <v>9</v>
      </c>
      <c r="F256" s="21" t="str">
        <f>VLOOKUP($E256,'Приложение 4'!$B$3:$C$19,2,FALSE)</f>
        <v>т</v>
      </c>
      <c r="G256" s="39"/>
      <c r="H256" s="39"/>
      <c r="I256" s="39"/>
      <c r="J256" s="39"/>
    </row>
    <row r="257" spans="1:10" x14ac:dyDescent="0.15">
      <c r="C257" s="20" t="s">
        <v>470</v>
      </c>
      <c r="D257" s="13" t="s">
        <v>89</v>
      </c>
      <c r="E257" s="13" t="s">
        <v>13</v>
      </c>
      <c r="G257" s="39"/>
      <c r="H257" s="39"/>
      <c r="I257" s="39"/>
      <c r="J257" s="39"/>
    </row>
    <row r="258" spans="1:10" ht="30" customHeight="1" x14ac:dyDescent="0.15">
      <c r="A258" s="19" t="s">
        <v>580</v>
      </c>
      <c r="B258" s="20" t="s">
        <v>581</v>
      </c>
      <c r="C258" s="20" t="s">
        <v>582</v>
      </c>
      <c r="D258" s="13" t="s">
        <v>87</v>
      </c>
      <c r="E258" s="13" t="s">
        <v>9</v>
      </c>
      <c r="F258" s="21" t="str">
        <f>VLOOKUP($E258,'Приложение 4'!$B$3:$C$19,2,FALSE)</f>
        <v>т</v>
      </c>
      <c r="G258" s="39"/>
      <c r="H258" s="39"/>
      <c r="I258" s="39"/>
      <c r="J258" s="39"/>
    </row>
    <row r="259" spans="1:10" x14ac:dyDescent="0.15">
      <c r="C259" s="20" t="s">
        <v>583</v>
      </c>
      <c r="D259" s="13" t="s">
        <v>89</v>
      </c>
      <c r="E259" s="13" t="s">
        <v>13</v>
      </c>
      <c r="G259" s="39"/>
      <c r="H259" s="39"/>
      <c r="I259" s="39"/>
      <c r="J259" s="39"/>
    </row>
    <row r="260" spans="1:10" ht="30" customHeight="1" x14ac:dyDescent="0.15">
      <c r="A260" s="19" t="s">
        <v>584</v>
      </c>
      <c r="B260" s="20" t="s">
        <v>585</v>
      </c>
      <c r="C260" s="20" t="s">
        <v>586</v>
      </c>
      <c r="D260" s="13" t="s">
        <v>87</v>
      </c>
      <c r="E260" s="13" t="s">
        <v>9</v>
      </c>
      <c r="F260" s="21" t="str">
        <f>VLOOKUP($E260,'Приложение 4'!$B$3:$C$19,2,FALSE)</f>
        <v>т</v>
      </c>
      <c r="G260" s="39"/>
      <c r="H260" s="39"/>
      <c r="I260" s="39"/>
      <c r="J260" s="39"/>
    </row>
    <row r="261" spans="1:10" x14ac:dyDescent="0.15">
      <c r="C261" s="20" t="s">
        <v>587</v>
      </c>
      <c r="D261" s="13" t="s">
        <v>89</v>
      </c>
      <c r="E261" s="13" t="s">
        <v>13</v>
      </c>
      <c r="G261" s="39"/>
      <c r="H261" s="39"/>
      <c r="I261" s="39"/>
      <c r="J261" s="39"/>
    </row>
    <row r="262" spans="1:10" ht="30" customHeight="1" x14ac:dyDescent="0.15">
      <c r="A262" s="19" t="s">
        <v>588</v>
      </c>
      <c r="B262" s="20" t="s">
        <v>589</v>
      </c>
      <c r="C262" s="20" t="s">
        <v>590</v>
      </c>
      <c r="D262" s="13" t="s">
        <v>87</v>
      </c>
      <c r="E262" s="13" t="s">
        <v>9</v>
      </c>
      <c r="F262" s="21" t="str">
        <f>VLOOKUP($E262,'Приложение 4'!$B$3:$C$19,2,FALSE)</f>
        <v>т</v>
      </c>
      <c r="G262" s="39"/>
      <c r="H262" s="39"/>
      <c r="I262" s="39"/>
      <c r="J262" s="39"/>
    </row>
    <row r="263" spans="1:10" x14ac:dyDescent="0.15">
      <c r="C263" s="20" t="s">
        <v>482</v>
      </c>
      <c r="D263" s="13" t="s">
        <v>89</v>
      </c>
      <c r="E263" s="13" t="s">
        <v>13</v>
      </c>
      <c r="G263" s="39"/>
      <c r="H263" s="39"/>
      <c r="I263" s="39"/>
      <c r="J263" s="39"/>
    </row>
    <row r="264" spans="1:10" ht="30" customHeight="1" x14ac:dyDescent="0.15">
      <c r="A264" s="19" t="s">
        <v>591</v>
      </c>
      <c r="B264" s="20" t="s">
        <v>592</v>
      </c>
      <c r="C264" s="20" t="s">
        <v>593</v>
      </c>
      <c r="D264" s="13" t="s">
        <v>87</v>
      </c>
      <c r="E264" s="13" t="s">
        <v>9</v>
      </c>
      <c r="F264" s="21" t="str">
        <f>VLOOKUP($E264,'Приложение 4'!$B$3:$C$19,2,FALSE)</f>
        <v>т</v>
      </c>
      <c r="G264" s="39"/>
      <c r="H264" s="39"/>
      <c r="I264" s="39"/>
      <c r="J264" s="39"/>
    </row>
    <row r="265" spans="1:10" x14ac:dyDescent="0.15">
      <c r="C265" s="20" t="s">
        <v>594</v>
      </c>
      <c r="D265" s="13" t="s">
        <v>89</v>
      </c>
      <c r="E265" s="13" t="s">
        <v>13</v>
      </c>
      <c r="G265" s="39"/>
      <c r="H265" s="39"/>
      <c r="I265" s="39"/>
      <c r="J265" s="39"/>
    </row>
    <row r="266" spans="1:10" ht="30" customHeight="1" x14ac:dyDescent="0.15">
      <c r="A266" s="19" t="s">
        <v>595</v>
      </c>
      <c r="B266" s="20" t="s">
        <v>596</v>
      </c>
      <c r="C266" s="20" t="s">
        <v>597</v>
      </c>
      <c r="D266" s="13" t="s">
        <v>87</v>
      </c>
      <c r="E266" s="13" t="s">
        <v>9</v>
      </c>
      <c r="F266" s="21" t="str">
        <f>VLOOKUP($E266,'Приложение 4'!$B$3:$C$19,2,FALSE)</f>
        <v>т</v>
      </c>
      <c r="G266" s="40"/>
      <c r="H266" s="40"/>
      <c r="I266" s="40"/>
      <c r="J266" s="40"/>
    </row>
    <row r="267" spans="1:10" x14ac:dyDescent="0.15">
      <c r="C267" s="20" t="s">
        <v>494</v>
      </c>
      <c r="D267" s="13" t="s">
        <v>89</v>
      </c>
      <c r="E267" s="13" t="s">
        <v>13</v>
      </c>
    </row>
    <row r="268" spans="1:10" ht="30" customHeight="1" x14ac:dyDescent="0.15">
      <c r="A268" s="19" t="s">
        <v>598</v>
      </c>
      <c r="B268" s="20" t="s">
        <v>599</v>
      </c>
      <c r="C268" s="20" t="s">
        <v>600</v>
      </c>
      <c r="D268" s="13" t="s">
        <v>87</v>
      </c>
      <c r="E268" s="13" t="s">
        <v>9</v>
      </c>
      <c r="F268" s="21" t="str">
        <f>VLOOKUP($E268,'Приложение 4'!$B$3:$C$19,2,FALSE)</f>
        <v>т</v>
      </c>
      <c r="G268" s="21">
        <v>3</v>
      </c>
      <c r="H268" s="13"/>
      <c r="I268" s="22">
        <v>0</v>
      </c>
      <c r="J268" s="22">
        <f>G268*I268</f>
        <v>0</v>
      </c>
    </row>
    <row r="269" spans="1:10" x14ac:dyDescent="0.15">
      <c r="C269" s="20" t="s">
        <v>601</v>
      </c>
      <c r="D269" s="13" t="s">
        <v>89</v>
      </c>
      <c r="E269" s="13" t="s">
        <v>13</v>
      </c>
    </row>
    <row r="270" spans="1:10" ht="45" customHeight="1" x14ac:dyDescent="0.15">
      <c r="A270" s="19" t="s">
        <v>602</v>
      </c>
      <c r="B270" s="20" t="s">
        <v>603</v>
      </c>
      <c r="C270" s="20" t="s">
        <v>604</v>
      </c>
      <c r="D270" s="13" t="s">
        <v>87</v>
      </c>
      <c r="E270" s="13" t="s">
        <v>9</v>
      </c>
      <c r="F270" s="21" t="str">
        <f>VLOOKUP($E270,'Приложение 4'!$B$3:$C$19,2,FALSE)</f>
        <v>т</v>
      </c>
      <c r="G270" s="21">
        <v>0</v>
      </c>
      <c r="H270" s="13"/>
      <c r="I270" s="22">
        <v>0</v>
      </c>
      <c r="J270" s="22">
        <f>G270*I270</f>
        <v>0</v>
      </c>
    </row>
    <row r="271" spans="1:10" x14ac:dyDescent="0.15">
      <c r="C271" s="20" t="s">
        <v>518</v>
      </c>
      <c r="D271" s="13" t="s">
        <v>89</v>
      </c>
      <c r="E271" s="13" t="s">
        <v>13</v>
      </c>
    </row>
    <row r="272" spans="1:10" ht="30" customHeight="1" x14ac:dyDescent="0.15">
      <c r="A272" s="19" t="s">
        <v>605</v>
      </c>
      <c r="B272" s="20" t="s">
        <v>606</v>
      </c>
      <c r="C272" s="20" t="s">
        <v>607</v>
      </c>
      <c r="D272" s="13" t="s">
        <v>87</v>
      </c>
      <c r="E272" s="13" t="s">
        <v>9</v>
      </c>
      <c r="F272" s="21" t="str">
        <f>VLOOKUP($E272,'Приложение 4'!$B$3:$C$19,2,FALSE)</f>
        <v>т</v>
      </c>
      <c r="G272" s="21">
        <v>1.5</v>
      </c>
      <c r="H272" s="13"/>
      <c r="I272" s="22">
        <v>0</v>
      </c>
      <c r="J272" s="22">
        <f>G272*I272</f>
        <v>0</v>
      </c>
    </row>
    <row r="273" spans="1:10" x14ac:dyDescent="0.15">
      <c r="C273" s="20" t="s">
        <v>608</v>
      </c>
      <c r="D273" s="13" t="s">
        <v>89</v>
      </c>
      <c r="E273" s="13" t="s">
        <v>13</v>
      </c>
    </row>
    <row r="274" spans="1:10" ht="30" customHeight="1" x14ac:dyDescent="0.15">
      <c r="A274" s="19" t="s">
        <v>609</v>
      </c>
      <c r="B274" s="20" t="s">
        <v>610</v>
      </c>
      <c r="C274" s="20" t="s">
        <v>611</v>
      </c>
      <c r="D274" s="13" t="s">
        <v>87</v>
      </c>
      <c r="E274" s="13" t="s">
        <v>9</v>
      </c>
      <c r="F274" s="21" t="str">
        <f>VLOOKUP($E274,'Приложение 4'!$B$3:$C$19,2,FALSE)</f>
        <v>т</v>
      </c>
      <c r="G274" s="21">
        <v>3</v>
      </c>
      <c r="H274" s="13"/>
      <c r="I274" s="22">
        <v>0</v>
      </c>
      <c r="J274" s="22">
        <f>G274*I274</f>
        <v>0</v>
      </c>
    </row>
    <row r="275" spans="1:10" x14ac:dyDescent="0.15">
      <c r="C275" s="20" t="s">
        <v>612</v>
      </c>
      <c r="D275" s="13" t="s">
        <v>89</v>
      </c>
      <c r="E275" s="13" t="s">
        <v>13</v>
      </c>
    </row>
    <row r="276" spans="1:10" ht="45" customHeight="1" x14ac:dyDescent="0.15">
      <c r="A276" s="19" t="s">
        <v>613</v>
      </c>
      <c r="B276" s="20" t="s">
        <v>614</v>
      </c>
      <c r="C276" s="20" t="s">
        <v>615</v>
      </c>
      <c r="D276" s="13" t="s">
        <v>87</v>
      </c>
      <c r="E276" s="13" t="s">
        <v>9</v>
      </c>
      <c r="F276" s="21" t="str">
        <f>VLOOKUP($E276,'Приложение 4'!$B$3:$C$19,2,FALSE)</f>
        <v>т</v>
      </c>
      <c r="G276" s="21">
        <v>0</v>
      </c>
      <c r="H276" s="13"/>
      <c r="I276" s="22">
        <v>0</v>
      </c>
      <c r="J276" s="22">
        <f>G276*I276</f>
        <v>0</v>
      </c>
    </row>
    <row r="277" spans="1:10" x14ac:dyDescent="0.15">
      <c r="C277" s="20" t="s">
        <v>616</v>
      </c>
      <c r="D277" s="13" t="s">
        <v>89</v>
      </c>
      <c r="E277" s="13" t="s">
        <v>13</v>
      </c>
    </row>
    <row r="278" spans="1:10" ht="30" customHeight="1" x14ac:dyDescent="0.15">
      <c r="A278" s="19" t="s">
        <v>617</v>
      </c>
      <c r="B278" s="20" t="s">
        <v>618</v>
      </c>
      <c r="C278" s="20" t="s">
        <v>619</v>
      </c>
      <c r="D278" s="13" t="s">
        <v>87</v>
      </c>
      <c r="E278" s="13" t="s">
        <v>9</v>
      </c>
      <c r="F278" s="21" t="str">
        <f>VLOOKUP($E278,'Приложение 4'!$B$3:$C$19,2,FALSE)</f>
        <v>т</v>
      </c>
      <c r="G278" s="21">
        <v>1.3</v>
      </c>
      <c r="H278" s="13"/>
      <c r="I278" s="22">
        <v>0</v>
      </c>
      <c r="J278" s="22">
        <f>G278*I278</f>
        <v>0</v>
      </c>
    </row>
    <row r="279" spans="1:10" x14ac:dyDescent="0.15">
      <c r="C279" s="20" t="s">
        <v>620</v>
      </c>
      <c r="D279" s="13" t="s">
        <v>89</v>
      </c>
      <c r="E279" s="13" t="s">
        <v>13</v>
      </c>
    </row>
    <row r="280" spans="1:10" ht="30" customHeight="1" x14ac:dyDescent="0.15">
      <c r="A280" s="19" t="s">
        <v>621</v>
      </c>
      <c r="B280" s="20" t="s">
        <v>622</v>
      </c>
      <c r="C280" s="20" t="s">
        <v>623</v>
      </c>
      <c r="D280" s="13" t="s">
        <v>87</v>
      </c>
      <c r="E280" s="13" t="s">
        <v>9</v>
      </c>
      <c r="F280" s="21" t="str">
        <f>VLOOKUP($E280,'Приложение 4'!$B$3:$C$19,2,FALSE)</f>
        <v>т</v>
      </c>
      <c r="G280" s="21">
        <v>5</v>
      </c>
      <c r="H280" s="13"/>
      <c r="I280" s="22">
        <v>0</v>
      </c>
      <c r="J280" s="22">
        <f>G280*I280</f>
        <v>0</v>
      </c>
    </row>
    <row r="281" spans="1:10" x14ac:dyDescent="0.15">
      <c r="C281" s="20" t="s">
        <v>624</v>
      </c>
      <c r="D281" s="13" t="s">
        <v>89</v>
      </c>
      <c r="E281" s="13" t="s">
        <v>13</v>
      </c>
    </row>
    <row r="282" spans="1:10" ht="30" customHeight="1" x14ac:dyDescent="0.15">
      <c r="A282" s="19" t="s">
        <v>625</v>
      </c>
      <c r="B282" s="20" t="s">
        <v>626</v>
      </c>
      <c r="C282" s="20" t="s">
        <v>627</v>
      </c>
      <c r="D282" s="13" t="s">
        <v>87</v>
      </c>
      <c r="E282" s="13" t="s">
        <v>9</v>
      </c>
      <c r="F282" s="21" t="str">
        <f>VLOOKUP($E282,'Приложение 4'!$B$3:$C$19,2,FALSE)</f>
        <v>т</v>
      </c>
      <c r="G282" s="21">
        <v>3.5</v>
      </c>
      <c r="H282" s="13"/>
      <c r="I282" s="22">
        <v>0</v>
      </c>
      <c r="J282" s="22">
        <f>G282*I282</f>
        <v>0</v>
      </c>
    </row>
    <row r="283" spans="1:10" x14ac:dyDescent="0.15">
      <c r="C283" s="20" t="s">
        <v>628</v>
      </c>
      <c r="D283" s="13" t="s">
        <v>89</v>
      </c>
      <c r="E283" s="13" t="s">
        <v>13</v>
      </c>
    </row>
    <row r="284" spans="1:10" ht="30" customHeight="1" x14ac:dyDescent="0.15">
      <c r="A284" s="19" t="s">
        <v>629</v>
      </c>
      <c r="B284" s="20" t="s">
        <v>630</v>
      </c>
      <c r="C284" s="20" t="s">
        <v>631</v>
      </c>
      <c r="D284" s="13" t="s">
        <v>87</v>
      </c>
      <c r="E284" s="13" t="s">
        <v>9</v>
      </c>
      <c r="F284" s="21" t="str">
        <f>VLOOKUP($E284,'Приложение 4'!$B$3:$C$19,2,FALSE)</f>
        <v>т</v>
      </c>
      <c r="G284" s="21">
        <v>0</v>
      </c>
      <c r="H284" s="13"/>
      <c r="I284" s="22">
        <v>0</v>
      </c>
      <c r="J284" s="22">
        <f>G284*I284</f>
        <v>0</v>
      </c>
    </row>
    <row r="285" spans="1:10" x14ac:dyDescent="0.15">
      <c r="C285" s="20" t="s">
        <v>632</v>
      </c>
      <c r="D285" s="13" t="s">
        <v>89</v>
      </c>
      <c r="E285" s="13" t="s">
        <v>13</v>
      </c>
    </row>
    <row r="286" spans="1:10" ht="30" customHeight="1" x14ac:dyDescent="0.15">
      <c r="A286" s="19" t="s">
        <v>633</v>
      </c>
      <c r="B286" s="20" t="s">
        <v>634</v>
      </c>
      <c r="C286" s="20" t="s">
        <v>635</v>
      </c>
      <c r="D286" s="13" t="s">
        <v>87</v>
      </c>
      <c r="E286" s="13" t="s">
        <v>9</v>
      </c>
      <c r="F286" s="21" t="str">
        <f>VLOOKUP($E286,'Приложение 4'!$B$3:$C$19,2,FALSE)</f>
        <v>т</v>
      </c>
      <c r="G286" s="21">
        <v>0.1</v>
      </c>
      <c r="H286" s="13"/>
      <c r="I286" s="22">
        <v>0</v>
      </c>
      <c r="J286" s="22">
        <f>G286*I286</f>
        <v>0</v>
      </c>
    </row>
    <row r="287" spans="1:10" x14ac:dyDescent="0.15">
      <c r="C287" s="20" t="s">
        <v>636</v>
      </c>
      <c r="D287" s="13" t="s">
        <v>89</v>
      </c>
      <c r="E287" s="13" t="s">
        <v>13</v>
      </c>
    </row>
    <row r="288" spans="1:10" ht="30" customHeight="1" x14ac:dyDescent="0.15">
      <c r="A288" s="19" t="s">
        <v>637</v>
      </c>
      <c r="B288" s="20" t="s">
        <v>638</v>
      </c>
      <c r="C288" s="20" t="s">
        <v>639</v>
      </c>
      <c r="D288" s="13" t="s">
        <v>87</v>
      </c>
      <c r="E288" s="13" t="s">
        <v>9</v>
      </c>
      <c r="F288" s="21" t="str">
        <f>VLOOKUP($E288,'Приложение 4'!$B$3:$C$19,2,FALSE)</f>
        <v>т</v>
      </c>
      <c r="G288" s="21">
        <v>0.2</v>
      </c>
      <c r="H288" s="13"/>
      <c r="I288" s="22">
        <v>0</v>
      </c>
      <c r="J288" s="22">
        <f>G288*I288</f>
        <v>0</v>
      </c>
    </row>
    <row r="289" spans="1:10" x14ac:dyDescent="0.15">
      <c r="C289" s="20" t="s">
        <v>640</v>
      </c>
      <c r="D289" s="13" t="s">
        <v>89</v>
      </c>
      <c r="E289" s="13" t="s">
        <v>13</v>
      </c>
    </row>
    <row r="290" spans="1:10" ht="30" customHeight="1" x14ac:dyDescent="0.15">
      <c r="A290" s="19" t="s">
        <v>641</v>
      </c>
      <c r="B290" s="20" t="s">
        <v>642</v>
      </c>
      <c r="C290" s="20" t="s">
        <v>643</v>
      </c>
      <c r="D290" s="13" t="s">
        <v>87</v>
      </c>
      <c r="E290" s="13" t="s">
        <v>9</v>
      </c>
      <c r="F290" s="21" t="str">
        <f>VLOOKUP($E290,'Приложение 4'!$B$3:$C$19,2,FALSE)</f>
        <v>т</v>
      </c>
      <c r="G290" s="21">
        <v>0</v>
      </c>
      <c r="H290" s="13"/>
      <c r="I290" s="22">
        <v>0</v>
      </c>
      <c r="J290" s="22">
        <f>G290*I290</f>
        <v>0</v>
      </c>
    </row>
    <row r="291" spans="1:10" x14ac:dyDescent="0.15">
      <c r="C291" s="20" t="s">
        <v>644</v>
      </c>
      <c r="D291" s="13" t="s">
        <v>89</v>
      </c>
      <c r="E291" s="13" t="s">
        <v>13</v>
      </c>
    </row>
    <row r="292" spans="1:10" ht="30" customHeight="1" x14ac:dyDescent="0.15">
      <c r="A292" s="19" t="s">
        <v>645</v>
      </c>
      <c r="B292" s="20" t="s">
        <v>646</v>
      </c>
      <c r="C292" s="20" t="s">
        <v>647</v>
      </c>
      <c r="D292" s="13" t="s">
        <v>87</v>
      </c>
      <c r="E292" s="13" t="s">
        <v>9</v>
      </c>
      <c r="F292" s="21" t="str">
        <f>VLOOKUP($E292,'Приложение 4'!$B$3:$C$19,2,FALSE)</f>
        <v>т</v>
      </c>
      <c r="G292" s="21">
        <v>0.1</v>
      </c>
      <c r="H292" s="13"/>
      <c r="I292" s="22">
        <v>0</v>
      </c>
      <c r="J292" s="22">
        <f>G292*I292</f>
        <v>0</v>
      </c>
    </row>
    <row r="293" spans="1:10" x14ac:dyDescent="0.15">
      <c r="C293" s="20" t="s">
        <v>648</v>
      </c>
      <c r="D293" s="13" t="s">
        <v>89</v>
      </c>
      <c r="E293" s="13" t="s">
        <v>13</v>
      </c>
    </row>
    <row r="294" spans="1:10" ht="30" customHeight="1" x14ac:dyDescent="0.15">
      <c r="A294" s="19" t="s">
        <v>649</v>
      </c>
      <c r="B294" s="20" t="s">
        <v>650</v>
      </c>
      <c r="C294" s="20" t="s">
        <v>651</v>
      </c>
      <c r="D294" s="13" t="s">
        <v>87</v>
      </c>
      <c r="E294" s="13" t="s">
        <v>9</v>
      </c>
      <c r="F294" s="21" t="str">
        <f>VLOOKUP($E294,'Приложение 4'!$B$3:$C$19,2,FALSE)</f>
        <v>т</v>
      </c>
      <c r="G294" s="21">
        <v>5</v>
      </c>
      <c r="H294" s="13"/>
      <c r="I294" s="22">
        <v>0</v>
      </c>
      <c r="J294" s="22">
        <f>G294*I294</f>
        <v>0</v>
      </c>
    </row>
    <row r="295" spans="1:10" x14ac:dyDescent="0.15">
      <c r="C295" s="20" t="s">
        <v>652</v>
      </c>
      <c r="D295" s="13" t="s">
        <v>89</v>
      </c>
      <c r="E295" s="13" t="s">
        <v>13</v>
      </c>
    </row>
    <row r="296" spans="1:10" ht="30" customHeight="1" x14ac:dyDescent="0.15">
      <c r="A296" s="19" t="s">
        <v>653</v>
      </c>
      <c r="B296" s="20" t="s">
        <v>654</v>
      </c>
      <c r="C296" s="20" t="s">
        <v>655</v>
      </c>
      <c r="D296" s="13" t="s">
        <v>87</v>
      </c>
      <c r="E296" s="13" t="s">
        <v>9</v>
      </c>
      <c r="F296" s="21" t="str">
        <f>VLOOKUP($E296,'Приложение 4'!$B$3:$C$19,2,FALSE)</f>
        <v>т</v>
      </c>
      <c r="G296" s="21">
        <v>3.5</v>
      </c>
      <c r="H296" s="13"/>
      <c r="I296" s="22">
        <v>0</v>
      </c>
      <c r="J296" s="22">
        <f>G296*I296</f>
        <v>0</v>
      </c>
    </row>
    <row r="297" spans="1:10" x14ac:dyDescent="0.15">
      <c r="C297" s="20" t="s">
        <v>656</v>
      </c>
      <c r="D297" s="13" t="s">
        <v>89</v>
      </c>
      <c r="E297" s="13" t="s">
        <v>13</v>
      </c>
    </row>
    <row r="298" spans="1:10" ht="30" customHeight="1" x14ac:dyDescent="0.15">
      <c r="A298" s="19" t="s">
        <v>657</v>
      </c>
      <c r="B298" s="20" t="s">
        <v>658</v>
      </c>
      <c r="C298" s="20" t="s">
        <v>659</v>
      </c>
      <c r="D298" s="13" t="s">
        <v>87</v>
      </c>
      <c r="E298" s="13" t="s">
        <v>9</v>
      </c>
      <c r="F298" s="21" t="str">
        <f>VLOOKUP($E298,'Приложение 4'!$B$3:$C$19,2,FALSE)</f>
        <v>т</v>
      </c>
      <c r="G298" s="21">
        <v>0</v>
      </c>
      <c r="H298" s="13"/>
      <c r="I298" s="22">
        <v>0</v>
      </c>
      <c r="J298" s="22">
        <f>G298*I298</f>
        <v>0</v>
      </c>
    </row>
    <row r="299" spans="1:10" x14ac:dyDescent="0.15">
      <c r="C299" s="20" t="s">
        <v>660</v>
      </c>
      <c r="D299" s="13" t="s">
        <v>89</v>
      </c>
      <c r="E299" s="13" t="s">
        <v>13</v>
      </c>
    </row>
    <row r="300" spans="1:10" ht="30" customHeight="1" x14ac:dyDescent="0.15">
      <c r="A300" s="19" t="s">
        <v>661</v>
      </c>
      <c r="B300" s="20" t="s">
        <v>662</v>
      </c>
      <c r="C300" s="20" t="s">
        <v>663</v>
      </c>
      <c r="D300" s="13" t="s">
        <v>87</v>
      </c>
      <c r="E300" s="13" t="s">
        <v>9</v>
      </c>
      <c r="F300" s="21" t="str">
        <f>VLOOKUP($E300,'Приложение 4'!$B$3:$C$19,2,FALSE)</f>
        <v>т</v>
      </c>
      <c r="G300" s="21">
        <v>0.1</v>
      </c>
      <c r="H300" s="13"/>
      <c r="I300" s="22">
        <v>0</v>
      </c>
      <c r="J300" s="22">
        <f>G300*I300</f>
        <v>0</v>
      </c>
    </row>
    <row r="301" spans="1:10" x14ac:dyDescent="0.15">
      <c r="C301" s="20" t="s">
        <v>664</v>
      </c>
      <c r="D301" s="13" t="s">
        <v>89</v>
      </c>
      <c r="E301" s="13" t="s">
        <v>13</v>
      </c>
    </row>
    <row r="302" spans="1:10" ht="30" customHeight="1" x14ac:dyDescent="0.15">
      <c r="A302" s="19" t="s">
        <v>665</v>
      </c>
      <c r="B302" s="20" t="s">
        <v>666</v>
      </c>
      <c r="C302" s="20" t="s">
        <v>667</v>
      </c>
      <c r="D302" s="13" t="s">
        <v>87</v>
      </c>
      <c r="E302" s="13" t="s">
        <v>9</v>
      </c>
      <c r="F302" s="21" t="str">
        <f>VLOOKUP($E302,'Приложение 4'!$B$3:$C$19,2,FALSE)</f>
        <v>т</v>
      </c>
      <c r="G302" s="21">
        <v>0.2</v>
      </c>
      <c r="H302" s="13"/>
      <c r="I302" s="22">
        <v>0</v>
      </c>
      <c r="J302" s="22">
        <f>G302*I302</f>
        <v>0</v>
      </c>
    </row>
    <row r="303" spans="1:10" x14ac:dyDescent="0.15">
      <c r="C303" s="20" t="s">
        <v>668</v>
      </c>
      <c r="D303" s="13" t="s">
        <v>89</v>
      </c>
      <c r="E303" s="13" t="s">
        <v>13</v>
      </c>
    </row>
    <row r="304" spans="1:10" ht="30" customHeight="1" x14ac:dyDescent="0.15">
      <c r="A304" s="19" t="s">
        <v>669</v>
      </c>
      <c r="B304" s="20" t="s">
        <v>670</v>
      </c>
      <c r="C304" s="20" t="s">
        <v>671</v>
      </c>
      <c r="D304" s="13" t="s">
        <v>87</v>
      </c>
      <c r="E304" s="13" t="s">
        <v>9</v>
      </c>
      <c r="F304" s="21" t="str">
        <f>VLOOKUP($E304,'Приложение 4'!$B$3:$C$19,2,FALSE)</f>
        <v>т</v>
      </c>
      <c r="G304" s="21">
        <v>0</v>
      </c>
      <c r="H304" s="13"/>
      <c r="I304" s="22">
        <v>0</v>
      </c>
      <c r="J304" s="22">
        <f>G304*I304</f>
        <v>0</v>
      </c>
    </row>
    <row r="305" spans="1:10" x14ac:dyDescent="0.15">
      <c r="C305" s="20" t="s">
        <v>672</v>
      </c>
      <c r="D305" s="13" t="s">
        <v>89</v>
      </c>
      <c r="E305" s="13" t="s">
        <v>13</v>
      </c>
    </row>
    <row r="306" spans="1:10" ht="30" customHeight="1" x14ac:dyDescent="0.15">
      <c r="A306" s="19" t="s">
        <v>673</v>
      </c>
      <c r="B306" s="20" t="s">
        <v>674</v>
      </c>
      <c r="C306" s="20" t="s">
        <v>675</v>
      </c>
      <c r="D306" s="13" t="s">
        <v>87</v>
      </c>
      <c r="E306" s="13" t="s">
        <v>9</v>
      </c>
      <c r="F306" s="21" t="str">
        <f>VLOOKUP($E306,'Приложение 4'!$B$3:$C$19,2,FALSE)</f>
        <v>т</v>
      </c>
      <c r="G306" s="21">
        <v>0.1</v>
      </c>
      <c r="H306" s="13"/>
      <c r="I306" s="22">
        <v>0</v>
      </c>
      <c r="J306" s="22">
        <f>G306*I306</f>
        <v>0</v>
      </c>
    </row>
    <row r="307" spans="1:10" x14ac:dyDescent="0.15">
      <c r="C307" s="20" t="s">
        <v>676</v>
      </c>
      <c r="D307" s="13" t="s">
        <v>89</v>
      </c>
      <c r="E307" s="13" t="s">
        <v>13</v>
      </c>
    </row>
    <row r="308" spans="1:10" ht="15" customHeight="1" x14ac:dyDescent="0.15">
      <c r="A308" s="19" t="s">
        <v>677</v>
      </c>
      <c r="B308" s="20" t="s">
        <v>678</v>
      </c>
      <c r="C308" s="20" t="s">
        <v>679</v>
      </c>
      <c r="D308" s="13" t="s">
        <v>87</v>
      </c>
      <c r="E308" s="13" t="s">
        <v>9</v>
      </c>
      <c r="F308" s="21" t="str">
        <f>VLOOKUP($E308,'Приложение 4'!$B$3:$C$19,2,FALSE)</f>
        <v>т</v>
      </c>
      <c r="G308" s="38">
        <v>16</v>
      </c>
      <c r="H308" s="42"/>
      <c r="I308" s="41">
        <v>0</v>
      </c>
      <c r="J308" s="41">
        <f>G308*I308</f>
        <v>0</v>
      </c>
    </row>
    <row r="309" spans="1:10" x14ac:dyDescent="0.15">
      <c r="C309" s="20" t="s">
        <v>680</v>
      </c>
      <c r="D309" s="13" t="s">
        <v>89</v>
      </c>
      <c r="E309" s="13" t="s">
        <v>13</v>
      </c>
      <c r="G309" s="39"/>
      <c r="H309" s="39"/>
      <c r="I309" s="39"/>
      <c r="J309" s="39"/>
    </row>
    <row r="310" spans="1:10" ht="30" customHeight="1" x14ac:dyDescent="0.15">
      <c r="A310" s="19" t="s">
        <v>681</v>
      </c>
      <c r="B310" s="20" t="s">
        <v>682</v>
      </c>
      <c r="C310" s="20" t="s">
        <v>683</v>
      </c>
      <c r="D310" s="13" t="s">
        <v>87</v>
      </c>
      <c r="E310" s="13" t="s">
        <v>9</v>
      </c>
      <c r="F310" s="21" t="str">
        <f>VLOOKUP($E310,'Приложение 4'!$B$3:$C$19,2,FALSE)</f>
        <v>т</v>
      </c>
      <c r="G310" s="39"/>
      <c r="H310" s="39"/>
      <c r="I310" s="39"/>
      <c r="J310" s="39"/>
    </row>
    <row r="311" spans="1:10" x14ac:dyDescent="0.15">
      <c r="C311" s="20" t="s">
        <v>684</v>
      </c>
      <c r="D311" s="13" t="s">
        <v>89</v>
      </c>
      <c r="E311" s="13" t="s">
        <v>13</v>
      </c>
      <c r="G311" s="39"/>
      <c r="H311" s="39"/>
      <c r="I311" s="39"/>
      <c r="J311" s="39"/>
    </row>
    <row r="312" spans="1:10" ht="30" customHeight="1" x14ac:dyDescent="0.15">
      <c r="A312" s="19" t="s">
        <v>685</v>
      </c>
      <c r="B312" s="20" t="s">
        <v>686</v>
      </c>
      <c r="C312" s="20" t="s">
        <v>687</v>
      </c>
      <c r="D312" s="13" t="s">
        <v>87</v>
      </c>
      <c r="E312" s="13" t="s">
        <v>9</v>
      </c>
      <c r="F312" s="21" t="str">
        <f>VLOOKUP($E312,'Приложение 4'!$B$3:$C$19,2,FALSE)</f>
        <v>т</v>
      </c>
      <c r="G312" s="39"/>
      <c r="H312" s="39"/>
      <c r="I312" s="39"/>
      <c r="J312" s="39"/>
    </row>
    <row r="313" spans="1:10" x14ac:dyDescent="0.15">
      <c r="C313" s="20" t="s">
        <v>688</v>
      </c>
      <c r="D313" s="13" t="s">
        <v>89</v>
      </c>
      <c r="E313" s="13" t="s">
        <v>13</v>
      </c>
      <c r="G313" s="39"/>
      <c r="H313" s="39"/>
      <c r="I313" s="39"/>
      <c r="J313" s="39"/>
    </row>
    <row r="314" spans="1:10" ht="30" customHeight="1" x14ac:dyDescent="0.15">
      <c r="A314" s="19" t="s">
        <v>689</v>
      </c>
      <c r="B314" s="20" t="s">
        <v>690</v>
      </c>
      <c r="C314" s="20" t="s">
        <v>691</v>
      </c>
      <c r="D314" s="13" t="s">
        <v>87</v>
      </c>
      <c r="E314" s="13" t="s">
        <v>9</v>
      </c>
      <c r="F314" s="21" t="str">
        <f>VLOOKUP($E314,'Приложение 4'!$B$3:$C$19,2,FALSE)</f>
        <v>т</v>
      </c>
      <c r="G314" s="39"/>
      <c r="H314" s="39"/>
      <c r="I314" s="39"/>
      <c r="J314" s="39"/>
    </row>
    <row r="315" spans="1:10" x14ac:dyDescent="0.15">
      <c r="C315" s="20" t="s">
        <v>692</v>
      </c>
      <c r="D315" s="13" t="s">
        <v>89</v>
      </c>
      <c r="E315" s="13" t="s">
        <v>13</v>
      </c>
      <c r="G315" s="39"/>
      <c r="H315" s="39"/>
      <c r="I315" s="39"/>
      <c r="J315" s="39"/>
    </row>
    <row r="316" spans="1:10" ht="30" customHeight="1" x14ac:dyDescent="0.15">
      <c r="A316" s="19" t="s">
        <v>693</v>
      </c>
      <c r="B316" s="20" t="s">
        <v>694</v>
      </c>
      <c r="C316" s="20" t="s">
        <v>695</v>
      </c>
      <c r="D316" s="13" t="s">
        <v>87</v>
      </c>
      <c r="E316" s="13" t="s">
        <v>9</v>
      </c>
      <c r="F316" s="21" t="str">
        <f>VLOOKUP($E316,'Приложение 4'!$B$3:$C$19,2,FALSE)</f>
        <v>т</v>
      </c>
      <c r="G316" s="39"/>
      <c r="H316" s="39"/>
      <c r="I316" s="39"/>
      <c r="J316" s="39"/>
    </row>
    <row r="317" spans="1:10" x14ac:dyDescent="0.15">
      <c r="C317" s="20" t="s">
        <v>696</v>
      </c>
      <c r="D317" s="13" t="s">
        <v>89</v>
      </c>
      <c r="E317" s="13" t="s">
        <v>13</v>
      </c>
      <c r="G317" s="39"/>
      <c r="H317" s="39"/>
      <c r="I317" s="39"/>
      <c r="J317" s="39"/>
    </row>
    <row r="318" spans="1:10" ht="30" customHeight="1" x14ac:dyDescent="0.15">
      <c r="A318" s="23" t="s">
        <v>697</v>
      </c>
      <c r="B318" s="24" t="s">
        <v>698</v>
      </c>
      <c r="C318" s="24" t="s">
        <v>699</v>
      </c>
      <c r="D318" s="13" t="s">
        <v>87</v>
      </c>
      <c r="E318" s="13" t="s">
        <v>9</v>
      </c>
      <c r="F318" s="21" t="str">
        <f>VLOOKUP($E318,'Приложение 4'!$B$3:$C$19,2,FALSE)</f>
        <v>т</v>
      </c>
      <c r="G318" s="39"/>
      <c r="H318" s="39"/>
      <c r="I318" s="39"/>
      <c r="J318" s="39"/>
    </row>
    <row r="319" spans="1:10" x14ac:dyDescent="0.15">
      <c r="C319" s="24" t="s">
        <v>700</v>
      </c>
      <c r="D319" s="13" t="s">
        <v>89</v>
      </c>
      <c r="E319" s="13" t="s">
        <v>13</v>
      </c>
      <c r="G319" s="39"/>
      <c r="H319" s="39"/>
      <c r="I319" s="39"/>
      <c r="J319" s="39"/>
    </row>
    <row r="320" spans="1:10" ht="30" customHeight="1" x14ac:dyDescent="0.15">
      <c r="A320" s="23" t="s">
        <v>701</v>
      </c>
      <c r="B320" s="24" t="s">
        <v>702</v>
      </c>
      <c r="C320" s="24" t="s">
        <v>703</v>
      </c>
      <c r="D320" s="13" t="s">
        <v>87</v>
      </c>
      <c r="E320" s="13" t="s">
        <v>9</v>
      </c>
      <c r="F320" s="21" t="str">
        <f>VLOOKUP($E320,'Приложение 4'!$B$3:$C$19,2,FALSE)</f>
        <v>т</v>
      </c>
      <c r="G320" s="39"/>
      <c r="H320" s="39"/>
      <c r="I320" s="39"/>
      <c r="J320" s="39"/>
    </row>
    <row r="321" spans="1:10" x14ac:dyDescent="0.15">
      <c r="C321" s="24" t="s">
        <v>704</v>
      </c>
      <c r="D321" s="13" t="s">
        <v>89</v>
      </c>
      <c r="E321" s="13" t="s">
        <v>13</v>
      </c>
      <c r="G321" s="39"/>
      <c r="H321" s="39"/>
      <c r="I321" s="39"/>
      <c r="J321" s="39"/>
    </row>
    <row r="322" spans="1:10" ht="30" customHeight="1" x14ac:dyDescent="0.15">
      <c r="A322" s="19" t="s">
        <v>705</v>
      </c>
      <c r="B322" s="20" t="s">
        <v>706</v>
      </c>
      <c r="C322" s="20" t="s">
        <v>707</v>
      </c>
      <c r="D322" s="13" t="s">
        <v>87</v>
      </c>
      <c r="E322" s="13" t="s">
        <v>9</v>
      </c>
      <c r="F322" s="21" t="str">
        <f>VLOOKUP($E322,'Приложение 4'!$B$3:$C$19,2,FALSE)</f>
        <v>т</v>
      </c>
      <c r="G322" s="39"/>
      <c r="H322" s="39"/>
      <c r="I322" s="39"/>
      <c r="J322" s="39"/>
    </row>
    <row r="323" spans="1:10" x14ac:dyDescent="0.15">
      <c r="C323" s="20" t="s">
        <v>708</v>
      </c>
      <c r="D323" s="13" t="s">
        <v>89</v>
      </c>
      <c r="E323" s="13" t="s">
        <v>13</v>
      </c>
      <c r="G323" s="39"/>
      <c r="H323" s="39"/>
      <c r="I323" s="39"/>
      <c r="J323" s="39"/>
    </row>
    <row r="324" spans="1:10" ht="30" customHeight="1" x14ac:dyDescent="0.15">
      <c r="A324" s="19" t="s">
        <v>709</v>
      </c>
      <c r="B324" s="20" t="s">
        <v>710</v>
      </c>
      <c r="C324" s="20" t="s">
        <v>711</v>
      </c>
      <c r="D324" s="13" t="s">
        <v>87</v>
      </c>
      <c r="E324" s="13" t="s">
        <v>9</v>
      </c>
      <c r="F324" s="21" t="str">
        <f>VLOOKUP($E324,'Приложение 4'!$B$3:$C$19,2,FALSE)</f>
        <v>т</v>
      </c>
      <c r="G324" s="39"/>
      <c r="H324" s="39"/>
      <c r="I324" s="39"/>
      <c r="J324" s="39"/>
    </row>
    <row r="325" spans="1:10" x14ac:dyDescent="0.15">
      <c r="C325" s="20" t="s">
        <v>688</v>
      </c>
      <c r="D325" s="13" t="s">
        <v>89</v>
      </c>
      <c r="E325" s="13" t="s">
        <v>13</v>
      </c>
      <c r="G325" s="39"/>
      <c r="H325" s="39"/>
      <c r="I325" s="39"/>
      <c r="J325" s="39"/>
    </row>
    <row r="326" spans="1:10" ht="30" customHeight="1" x14ac:dyDescent="0.15">
      <c r="A326" s="19" t="s">
        <v>712</v>
      </c>
      <c r="B326" s="20" t="s">
        <v>713</v>
      </c>
      <c r="C326" s="20" t="s">
        <v>714</v>
      </c>
      <c r="D326" s="13" t="s">
        <v>87</v>
      </c>
      <c r="E326" s="13" t="s">
        <v>9</v>
      </c>
      <c r="F326" s="21" t="str">
        <f>VLOOKUP($E326,'Приложение 4'!$B$3:$C$19,2,FALSE)</f>
        <v>т</v>
      </c>
      <c r="G326" s="39"/>
      <c r="H326" s="39"/>
      <c r="I326" s="39"/>
      <c r="J326" s="39"/>
    </row>
    <row r="327" spans="1:10" x14ac:dyDescent="0.15">
      <c r="C327" s="20" t="s">
        <v>715</v>
      </c>
      <c r="D327" s="13" t="s">
        <v>89</v>
      </c>
      <c r="E327" s="13" t="s">
        <v>13</v>
      </c>
      <c r="G327" s="39"/>
      <c r="H327" s="39"/>
      <c r="I327" s="39"/>
      <c r="J327" s="39"/>
    </row>
    <row r="328" spans="1:10" ht="30" customHeight="1" x14ac:dyDescent="0.15">
      <c r="A328" s="19" t="s">
        <v>716</v>
      </c>
      <c r="B328" s="20" t="s">
        <v>717</v>
      </c>
      <c r="C328" s="20" t="s">
        <v>718</v>
      </c>
      <c r="D328" s="13" t="s">
        <v>87</v>
      </c>
      <c r="E328" s="13" t="s">
        <v>9</v>
      </c>
      <c r="F328" s="21" t="str">
        <f>VLOOKUP($E328,'Приложение 4'!$B$3:$C$19,2,FALSE)</f>
        <v>т</v>
      </c>
      <c r="G328" s="39"/>
      <c r="H328" s="39"/>
      <c r="I328" s="39"/>
      <c r="J328" s="39"/>
    </row>
    <row r="329" spans="1:10" x14ac:dyDescent="0.15">
      <c r="C329" s="20" t="s">
        <v>719</v>
      </c>
      <c r="D329" s="13" t="s">
        <v>89</v>
      </c>
      <c r="E329" s="13" t="s">
        <v>13</v>
      </c>
      <c r="G329" s="39"/>
      <c r="H329" s="39"/>
      <c r="I329" s="39"/>
      <c r="J329" s="39"/>
    </row>
    <row r="330" spans="1:10" ht="30" customHeight="1" x14ac:dyDescent="0.15">
      <c r="A330" s="19" t="s">
        <v>720</v>
      </c>
      <c r="B330" s="20" t="s">
        <v>721</v>
      </c>
      <c r="C330" s="20" t="s">
        <v>722</v>
      </c>
      <c r="D330" s="13" t="s">
        <v>87</v>
      </c>
      <c r="E330" s="13" t="s">
        <v>9</v>
      </c>
      <c r="F330" s="21" t="str">
        <f>VLOOKUP($E330,'Приложение 4'!$B$3:$C$19,2,FALSE)</f>
        <v>т</v>
      </c>
      <c r="G330" s="39"/>
      <c r="H330" s="39"/>
      <c r="I330" s="39"/>
      <c r="J330" s="39"/>
    </row>
    <row r="331" spans="1:10" x14ac:dyDescent="0.15">
      <c r="C331" s="20" t="s">
        <v>723</v>
      </c>
      <c r="D331" s="13" t="s">
        <v>89</v>
      </c>
      <c r="E331" s="13" t="s">
        <v>13</v>
      </c>
      <c r="G331" s="39"/>
      <c r="H331" s="39"/>
      <c r="I331" s="39"/>
      <c r="J331" s="39"/>
    </row>
    <row r="332" spans="1:10" ht="30" customHeight="1" x14ac:dyDescent="0.15">
      <c r="A332" s="19" t="s">
        <v>724</v>
      </c>
      <c r="B332" s="20" t="s">
        <v>725</v>
      </c>
      <c r="C332" s="20" t="s">
        <v>726</v>
      </c>
      <c r="D332" s="13" t="s">
        <v>87</v>
      </c>
      <c r="E332" s="13" t="s">
        <v>9</v>
      </c>
      <c r="F332" s="21" t="str">
        <f>VLOOKUP($E332,'Приложение 4'!$B$3:$C$19,2,FALSE)</f>
        <v>т</v>
      </c>
      <c r="G332" s="40"/>
      <c r="H332" s="40"/>
      <c r="I332" s="40"/>
      <c r="J332" s="40"/>
    </row>
    <row r="333" spans="1:10" x14ac:dyDescent="0.15">
      <c r="C333" s="20" t="s">
        <v>727</v>
      </c>
      <c r="D333" s="13" t="s">
        <v>89</v>
      </c>
      <c r="E333" s="13" t="s">
        <v>13</v>
      </c>
    </row>
    <row r="334" spans="1:10" ht="15" customHeight="1" x14ac:dyDescent="0.15">
      <c r="A334" s="19" t="s">
        <v>728</v>
      </c>
      <c r="B334" s="20" t="s">
        <v>729</v>
      </c>
      <c r="C334" s="20" t="s">
        <v>730</v>
      </c>
      <c r="D334" s="29" t="s">
        <v>87</v>
      </c>
      <c r="E334" s="29" t="s">
        <v>9</v>
      </c>
      <c r="F334" s="21" t="str">
        <f>VLOOKUP($E334,'Приложение 4'!$B$3:$C$19,2,FALSE)</f>
        <v>т</v>
      </c>
      <c r="G334" s="38">
        <v>16</v>
      </c>
      <c r="H334" s="42"/>
      <c r="I334" s="41">
        <v>0</v>
      </c>
      <c r="J334" s="41">
        <f>G334*I334</f>
        <v>0</v>
      </c>
    </row>
    <row r="335" spans="1:10" x14ac:dyDescent="0.15">
      <c r="C335" s="20" t="s">
        <v>731</v>
      </c>
      <c r="D335" s="29" t="s">
        <v>89</v>
      </c>
      <c r="E335" s="29" t="s">
        <v>13</v>
      </c>
      <c r="G335" s="39"/>
      <c r="H335" s="39"/>
      <c r="I335" s="39"/>
      <c r="J335" s="39"/>
    </row>
    <row r="336" spans="1:10" ht="30" customHeight="1" x14ac:dyDescent="0.15">
      <c r="A336" s="19" t="s">
        <v>732</v>
      </c>
      <c r="B336" s="20" t="s">
        <v>733</v>
      </c>
      <c r="C336" s="20" t="s">
        <v>734</v>
      </c>
      <c r="D336" s="29" t="s">
        <v>87</v>
      </c>
      <c r="E336" s="29" t="s">
        <v>9</v>
      </c>
      <c r="F336" s="21" t="str">
        <f>VLOOKUP($E336,'Приложение 4'!$B$3:$C$19,2,FALSE)</f>
        <v>т</v>
      </c>
      <c r="G336" s="39"/>
      <c r="H336" s="39"/>
      <c r="I336" s="39"/>
      <c r="J336" s="39"/>
    </row>
    <row r="337" spans="1:10" x14ac:dyDescent="0.15">
      <c r="C337" s="20" t="s">
        <v>735</v>
      </c>
      <c r="D337" s="29" t="s">
        <v>89</v>
      </c>
      <c r="E337" s="29" t="s">
        <v>13</v>
      </c>
      <c r="G337" s="39"/>
      <c r="H337" s="39"/>
      <c r="I337" s="39"/>
      <c r="J337" s="39"/>
    </row>
    <row r="338" spans="1:10" ht="30" customHeight="1" x14ac:dyDescent="0.15">
      <c r="A338" s="19" t="s">
        <v>736</v>
      </c>
      <c r="B338" s="20" t="s">
        <v>737</v>
      </c>
      <c r="C338" s="20" t="s">
        <v>738</v>
      </c>
      <c r="D338" s="29" t="s">
        <v>87</v>
      </c>
      <c r="E338" s="29" t="s">
        <v>9</v>
      </c>
      <c r="F338" s="21" t="str">
        <f>VLOOKUP($E338,'Приложение 4'!$B$3:$C$19,2,FALSE)</f>
        <v>т</v>
      </c>
      <c r="G338" s="39"/>
      <c r="H338" s="39"/>
      <c r="I338" s="39"/>
      <c r="J338" s="39"/>
    </row>
    <row r="339" spans="1:10" x14ac:dyDescent="0.15">
      <c r="C339" s="20" t="s">
        <v>739</v>
      </c>
      <c r="D339" s="29" t="s">
        <v>89</v>
      </c>
      <c r="E339" s="29" t="s">
        <v>13</v>
      </c>
      <c r="G339" s="39"/>
      <c r="H339" s="39"/>
      <c r="I339" s="39"/>
      <c r="J339" s="39"/>
    </row>
    <row r="340" spans="1:10" ht="30" customHeight="1" x14ac:dyDescent="0.15">
      <c r="A340" s="19" t="s">
        <v>740</v>
      </c>
      <c r="B340" s="20" t="s">
        <v>741</v>
      </c>
      <c r="C340" s="20" t="s">
        <v>742</v>
      </c>
      <c r="D340" s="29" t="s">
        <v>87</v>
      </c>
      <c r="E340" s="29" t="s">
        <v>9</v>
      </c>
      <c r="F340" s="21" t="str">
        <f>VLOOKUP($E340,'Приложение 4'!$B$3:$C$19,2,FALSE)</f>
        <v>т</v>
      </c>
      <c r="G340" s="39"/>
      <c r="H340" s="39"/>
      <c r="I340" s="39"/>
      <c r="J340" s="39"/>
    </row>
    <row r="341" spans="1:10" x14ac:dyDescent="0.15">
      <c r="C341" s="20" t="s">
        <v>743</v>
      </c>
      <c r="D341" s="29" t="s">
        <v>89</v>
      </c>
      <c r="E341" s="29" t="s">
        <v>13</v>
      </c>
      <c r="G341" s="39"/>
      <c r="H341" s="39"/>
      <c r="I341" s="39"/>
      <c r="J341" s="39"/>
    </row>
    <row r="342" spans="1:10" ht="30" customHeight="1" x14ac:dyDescent="0.15">
      <c r="A342" s="19" t="s">
        <v>744</v>
      </c>
      <c r="B342" s="20" t="s">
        <v>745</v>
      </c>
      <c r="C342" s="20" t="s">
        <v>746</v>
      </c>
      <c r="D342" s="29" t="s">
        <v>87</v>
      </c>
      <c r="E342" s="29" t="s">
        <v>9</v>
      </c>
      <c r="F342" s="21" t="str">
        <f>VLOOKUP($E342,'Приложение 4'!$B$3:$C$19,2,FALSE)</f>
        <v>т</v>
      </c>
      <c r="G342" s="39"/>
      <c r="H342" s="39"/>
      <c r="I342" s="39"/>
      <c r="J342" s="39"/>
    </row>
    <row r="343" spans="1:10" x14ac:dyDescent="0.15">
      <c r="C343" s="20" t="s">
        <v>747</v>
      </c>
      <c r="D343" s="29" t="s">
        <v>89</v>
      </c>
      <c r="E343" s="29" t="s">
        <v>13</v>
      </c>
      <c r="G343" s="39"/>
      <c r="H343" s="39"/>
      <c r="I343" s="39"/>
      <c r="J343" s="39"/>
    </row>
    <row r="344" spans="1:10" ht="30" customHeight="1" x14ac:dyDescent="0.15">
      <c r="A344" s="23" t="s">
        <v>748</v>
      </c>
      <c r="B344" s="24" t="s">
        <v>749</v>
      </c>
      <c r="C344" s="24" t="s">
        <v>750</v>
      </c>
      <c r="D344" s="29" t="s">
        <v>87</v>
      </c>
      <c r="E344" s="29" t="s">
        <v>9</v>
      </c>
      <c r="F344" s="21" t="str">
        <f>VLOOKUP($E344,'Приложение 4'!$B$3:$C$19,2,FALSE)</f>
        <v>т</v>
      </c>
      <c r="G344" s="39"/>
      <c r="H344" s="39"/>
      <c r="I344" s="39"/>
      <c r="J344" s="39"/>
    </row>
    <row r="345" spans="1:10" x14ac:dyDescent="0.15">
      <c r="C345" s="24" t="s">
        <v>751</v>
      </c>
      <c r="D345" s="29" t="s">
        <v>89</v>
      </c>
      <c r="E345" s="29" t="s">
        <v>13</v>
      </c>
      <c r="G345" s="39"/>
      <c r="H345" s="39"/>
      <c r="I345" s="39"/>
      <c r="J345" s="39"/>
    </row>
    <row r="346" spans="1:10" ht="30" customHeight="1" x14ac:dyDescent="0.15">
      <c r="A346" s="23" t="s">
        <v>752</v>
      </c>
      <c r="B346" s="24" t="s">
        <v>753</v>
      </c>
      <c r="C346" s="24" t="s">
        <v>754</v>
      </c>
      <c r="D346" s="29" t="s">
        <v>87</v>
      </c>
      <c r="E346" s="29" t="s">
        <v>9</v>
      </c>
      <c r="F346" s="21" t="str">
        <f>VLOOKUP($E346,'Приложение 4'!$B$3:$C$19,2,FALSE)</f>
        <v>т</v>
      </c>
      <c r="G346" s="39"/>
      <c r="H346" s="39"/>
      <c r="I346" s="39"/>
      <c r="J346" s="39"/>
    </row>
    <row r="347" spans="1:10" x14ac:dyDescent="0.15">
      <c r="C347" s="24" t="s">
        <v>755</v>
      </c>
      <c r="D347" s="29" t="s">
        <v>89</v>
      </c>
      <c r="E347" s="29" t="s">
        <v>13</v>
      </c>
      <c r="G347" s="39"/>
      <c r="H347" s="39"/>
      <c r="I347" s="39"/>
      <c r="J347" s="39"/>
    </row>
    <row r="348" spans="1:10" ht="30" customHeight="1" x14ac:dyDescent="0.15">
      <c r="A348" s="19" t="s">
        <v>756</v>
      </c>
      <c r="B348" s="20" t="s">
        <v>757</v>
      </c>
      <c r="C348" s="20" t="s">
        <v>758</v>
      </c>
      <c r="D348" s="29" t="s">
        <v>87</v>
      </c>
      <c r="E348" s="29" t="s">
        <v>9</v>
      </c>
      <c r="F348" s="21" t="str">
        <f>VLOOKUP($E348,'Приложение 4'!$B$3:$C$19,2,FALSE)</f>
        <v>т</v>
      </c>
      <c r="G348" s="39"/>
      <c r="H348" s="39"/>
      <c r="I348" s="39"/>
      <c r="J348" s="39"/>
    </row>
    <row r="349" spans="1:10" x14ac:dyDescent="0.15">
      <c r="C349" s="20" t="s">
        <v>759</v>
      </c>
      <c r="D349" s="29" t="s">
        <v>89</v>
      </c>
      <c r="E349" s="29" t="s">
        <v>13</v>
      </c>
      <c r="G349" s="39"/>
      <c r="H349" s="39"/>
      <c r="I349" s="39"/>
      <c r="J349" s="39"/>
    </row>
    <row r="350" spans="1:10" ht="30" customHeight="1" x14ac:dyDescent="0.15">
      <c r="A350" s="19" t="s">
        <v>760</v>
      </c>
      <c r="B350" s="20" t="s">
        <v>761</v>
      </c>
      <c r="C350" s="20" t="s">
        <v>762</v>
      </c>
      <c r="D350" s="29" t="s">
        <v>87</v>
      </c>
      <c r="E350" s="29" t="s">
        <v>9</v>
      </c>
      <c r="F350" s="21" t="str">
        <f>VLOOKUP($E350,'Приложение 4'!$B$3:$C$19,2,FALSE)</f>
        <v>т</v>
      </c>
      <c r="G350" s="39"/>
      <c r="H350" s="39"/>
      <c r="I350" s="39"/>
      <c r="J350" s="39"/>
    </row>
    <row r="351" spans="1:10" x14ac:dyDescent="0.15">
      <c r="C351" s="20" t="s">
        <v>763</v>
      </c>
      <c r="D351" s="29" t="s">
        <v>89</v>
      </c>
      <c r="E351" s="29" t="s">
        <v>13</v>
      </c>
      <c r="G351" s="39"/>
      <c r="H351" s="39"/>
      <c r="I351" s="39"/>
      <c r="J351" s="39"/>
    </row>
    <row r="352" spans="1:10" ht="30" customHeight="1" x14ac:dyDescent="0.15">
      <c r="A352" s="19" t="s">
        <v>764</v>
      </c>
      <c r="B352" s="20" t="s">
        <v>765</v>
      </c>
      <c r="C352" s="20" t="s">
        <v>766</v>
      </c>
      <c r="D352" s="29" t="s">
        <v>87</v>
      </c>
      <c r="E352" s="29" t="s">
        <v>9</v>
      </c>
      <c r="F352" s="21" t="str">
        <f>VLOOKUP($E352,'Приложение 4'!$B$3:$C$19,2,FALSE)</f>
        <v>т</v>
      </c>
      <c r="G352" s="39"/>
      <c r="H352" s="39"/>
      <c r="I352" s="39"/>
      <c r="J352" s="39"/>
    </row>
    <row r="353" spans="1:10" x14ac:dyDescent="0.15">
      <c r="C353" s="20" t="s">
        <v>743</v>
      </c>
      <c r="D353" s="29" t="s">
        <v>89</v>
      </c>
      <c r="E353" s="29" t="s">
        <v>13</v>
      </c>
      <c r="G353" s="39"/>
      <c r="H353" s="39"/>
      <c r="I353" s="39"/>
      <c r="J353" s="39"/>
    </row>
    <row r="354" spans="1:10" ht="30" customHeight="1" x14ac:dyDescent="0.15">
      <c r="A354" s="19" t="s">
        <v>767</v>
      </c>
      <c r="B354" s="20" t="s">
        <v>768</v>
      </c>
      <c r="C354" s="20" t="s">
        <v>769</v>
      </c>
      <c r="D354" s="29" t="s">
        <v>87</v>
      </c>
      <c r="E354" s="29" t="s">
        <v>9</v>
      </c>
      <c r="F354" s="21" t="str">
        <f>VLOOKUP($E354,'Приложение 4'!$B$3:$C$19,2,FALSE)</f>
        <v>т</v>
      </c>
      <c r="G354" s="39"/>
      <c r="H354" s="39"/>
      <c r="I354" s="39"/>
      <c r="J354" s="39"/>
    </row>
    <row r="355" spans="1:10" x14ac:dyDescent="0.15">
      <c r="C355" s="20" t="s">
        <v>770</v>
      </c>
      <c r="D355" s="29" t="s">
        <v>89</v>
      </c>
      <c r="E355" s="29" t="s">
        <v>13</v>
      </c>
      <c r="G355" s="39"/>
      <c r="H355" s="39"/>
      <c r="I355" s="39"/>
      <c r="J355" s="39"/>
    </row>
    <row r="356" spans="1:10" ht="30" customHeight="1" x14ac:dyDescent="0.15">
      <c r="A356" s="19" t="s">
        <v>771</v>
      </c>
      <c r="B356" s="20" t="s">
        <v>772</v>
      </c>
      <c r="C356" s="20" t="s">
        <v>773</v>
      </c>
      <c r="D356" s="29" t="s">
        <v>87</v>
      </c>
      <c r="E356" s="29" t="s">
        <v>9</v>
      </c>
      <c r="F356" s="21" t="str">
        <f>VLOOKUP($E356,'Приложение 4'!$B$3:$C$19,2,FALSE)</f>
        <v>т</v>
      </c>
      <c r="G356" s="39"/>
      <c r="H356" s="39"/>
      <c r="I356" s="39"/>
      <c r="J356" s="39"/>
    </row>
    <row r="357" spans="1:10" x14ac:dyDescent="0.15">
      <c r="C357" s="20" t="s">
        <v>723</v>
      </c>
      <c r="D357" s="29" t="s">
        <v>89</v>
      </c>
      <c r="E357" s="29" t="s">
        <v>13</v>
      </c>
      <c r="G357" s="39"/>
      <c r="H357" s="39"/>
      <c r="I357" s="39"/>
      <c r="J357" s="39"/>
    </row>
    <row r="358" spans="1:10" ht="30" customHeight="1" x14ac:dyDescent="0.15">
      <c r="A358" s="19" t="s">
        <v>774</v>
      </c>
      <c r="B358" s="20" t="s">
        <v>775</v>
      </c>
      <c r="C358" s="20" t="s">
        <v>776</v>
      </c>
      <c r="D358" s="29" t="s">
        <v>87</v>
      </c>
      <c r="E358" s="29" t="s">
        <v>9</v>
      </c>
      <c r="F358" s="21" t="str">
        <f>VLOOKUP($E358,'Приложение 4'!$B$3:$C$19,2,FALSE)</f>
        <v>т</v>
      </c>
      <c r="G358" s="40"/>
      <c r="H358" s="40"/>
      <c r="I358" s="40"/>
      <c r="J358" s="40"/>
    </row>
    <row r="359" spans="1:10" x14ac:dyDescent="0.15">
      <c r="C359" s="20" t="s">
        <v>727</v>
      </c>
      <c r="D359" s="29" t="s">
        <v>89</v>
      </c>
      <c r="E359" s="29" t="s">
        <v>13</v>
      </c>
    </row>
    <row r="360" spans="1:10" ht="18.75" customHeight="1" x14ac:dyDescent="0.15">
      <c r="A360" s="14" t="s">
        <v>777</v>
      </c>
      <c r="B360" s="15" t="s">
        <v>778</v>
      </c>
      <c r="C360" s="15"/>
      <c r="D360" s="16"/>
      <c r="E360" s="16"/>
      <c r="F360" s="14" t="s">
        <v>10</v>
      </c>
      <c r="G360" s="14">
        <f>SUM(G362:G398)</f>
        <v>11.3</v>
      </c>
      <c r="H360" s="14"/>
      <c r="I360" s="18"/>
      <c r="J360" s="18">
        <f>SUM(J362:J398)</f>
        <v>0</v>
      </c>
    </row>
    <row r="361" spans="1:10" ht="18.75" x14ac:dyDescent="0.15">
      <c r="B361" s="15" t="s">
        <v>779</v>
      </c>
      <c r="F361" s="14" t="s">
        <v>14</v>
      </c>
    </row>
    <row r="362" spans="1:10" ht="45" customHeight="1" x14ac:dyDescent="0.15">
      <c r="A362" s="19" t="s">
        <v>780</v>
      </c>
      <c r="B362" s="20"/>
      <c r="C362" s="20" t="s">
        <v>781</v>
      </c>
      <c r="D362" s="13" t="s">
        <v>87</v>
      </c>
      <c r="E362" s="13" t="s">
        <v>33</v>
      </c>
      <c r="F362" s="21" t="str">
        <f>VLOOKUP($E362,'Приложение 4'!$B$3:$C$19,2,FALSE)</f>
        <v>т</v>
      </c>
      <c r="G362" s="13">
        <v>0.3</v>
      </c>
      <c r="H362" s="13"/>
      <c r="I362" s="22">
        <v>0</v>
      </c>
      <c r="J362" s="22">
        <f>G362*I362</f>
        <v>0</v>
      </c>
    </row>
    <row r="363" spans="1:10" ht="27" x14ac:dyDescent="0.15">
      <c r="C363" s="20" t="s">
        <v>782</v>
      </c>
      <c r="D363" s="13" t="s">
        <v>89</v>
      </c>
      <c r="E363" s="13" t="s">
        <v>36</v>
      </c>
    </row>
    <row r="364" spans="1:10" ht="30" customHeight="1" x14ac:dyDescent="0.15">
      <c r="A364" s="19" t="s">
        <v>783</v>
      </c>
      <c r="B364" s="20"/>
      <c r="C364" s="20" t="s">
        <v>784</v>
      </c>
      <c r="D364" s="13" t="s">
        <v>87</v>
      </c>
      <c r="E364" s="13" t="s">
        <v>33</v>
      </c>
      <c r="F364" s="21" t="str">
        <f>VLOOKUP($E364,'Приложение 4'!$B$3:$C$19,2,FALSE)</f>
        <v>т</v>
      </c>
      <c r="G364" s="13">
        <v>0.2</v>
      </c>
      <c r="H364" s="13"/>
      <c r="I364" s="22">
        <v>0</v>
      </c>
      <c r="J364" s="22">
        <f>G364*I364</f>
        <v>0</v>
      </c>
    </row>
    <row r="365" spans="1:10" x14ac:dyDescent="0.15">
      <c r="C365" s="20" t="s">
        <v>785</v>
      </c>
      <c r="D365" s="13" t="s">
        <v>89</v>
      </c>
      <c r="E365" s="13" t="s">
        <v>36</v>
      </c>
    </row>
    <row r="366" spans="1:10" ht="27" x14ac:dyDescent="0.15">
      <c r="A366" s="19" t="s">
        <v>786</v>
      </c>
      <c r="B366" s="20"/>
      <c r="C366" s="20" t="s">
        <v>787</v>
      </c>
      <c r="D366" s="13" t="s">
        <v>87</v>
      </c>
      <c r="E366" s="13" t="s">
        <v>33</v>
      </c>
      <c r="F366" s="21" t="str">
        <f>VLOOKUP($E366,'Приложение 4'!$B$3:$C$19,2,FALSE)</f>
        <v>т</v>
      </c>
      <c r="G366" s="13">
        <v>5.4</v>
      </c>
      <c r="H366" s="13"/>
      <c r="I366" s="22">
        <v>0</v>
      </c>
      <c r="J366" s="22">
        <f>G366*I366</f>
        <v>0</v>
      </c>
    </row>
    <row r="367" spans="1:10" x14ac:dyDescent="0.15">
      <c r="C367" s="20" t="s">
        <v>788</v>
      </c>
      <c r="D367" s="13" t="s">
        <v>89</v>
      </c>
      <c r="E367" s="13" t="s">
        <v>36</v>
      </c>
    </row>
    <row r="368" spans="1:10" ht="27" x14ac:dyDescent="0.15">
      <c r="A368" s="19" t="s">
        <v>789</v>
      </c>
      <c r="B368" s="20"/>
      <c r="C368" s="20" t="s">
        <v>790</v>
      </c>
      <c r="D368" s="13" t="s">
        <v>87</v>
      </c>
      <c r="E368" s="13" t="s">
        <v>33</v>
      </c>
      <c r="F368" s="21" t="str">
        <f>VLOOKUP($E368,'Приложение 4'!$B$3:$C$19,2,FALSE)</f>
        <v>т</v>
      </c>
      <c r="G368" s="13">
        <v>5.4</v>
      </c>
      <c r="H368" s="13"/>
      <c r="I368" s="22">
        <v>0</v>
      </c>
      <c r="J368" s="22">
        <f>G368*I368</f>
        <v>0</v>
      </c>
    </row>
    <row r="369" spans="1:10" x14ac:dyDescent="0.15">
      <c r="C369" s="20" t="s">
        <v>791</v>
      </c>
      <c r="D369" s="13" t="s">
        <v>89</v>
      </c>
      <c r="E369" s="13" t="s">
        <v>36</v>
      </c>
    </row>
    <row r="370" spans="1:10" ht="14.25" x14ac:dyDescent="0.15">
      <c r="A370" s="19" t="s">
        <v>792</v>
      </c>
      <c r="B370" s="20"/>
      <c r="C370" s="20"/>
      <c r="D370" s="13"/>
      <c r="E370" s="13" t="s">
        <v>33</v>
      </c>
      <c r="F370" s="21" t="str">
        <f>VLOOKUP($E370,'Приложение 4'!$B$3:$C$19,2,FALSE)</f>
        <v>т</v>
      </c>
      <c r="G370" s="13"/>
      <c r="H370" s="13"/>
      <c r="I370" s="22">
        <v>0</v>
      </c>
      <c r="J370" s="22">
        <f>G370*I370</f>
        <v>0</v>
      </c>
    </row>
    <row r="371" spans="1:10" x14ac:dyDescent="0.15">
      <c r="E371" s="13" t="s">
        <v>36</v>
      </c>
    </row>
    <row r="372" spans="1:10" ht="14.25" x14ac:dyDescent="0.15">
      <c r="A372" s="19" t="s">
        <v>793</v>
      </c>
      <c r="B372" s="20"/>
      <c r="C372" s="20"/>
      <c r="D372" s="13"/>
      <c r="E372" s="13" t="s">
        <v>33</v>
      </c>
      <c r="F372" s="21" t="str">
        <f>VLOOKUP($E372,'Приложение 4'!$B$3:$C$19,2,FALSE)</f>
        <v>т</v>
      </c>
      <c r="G372" s="13"/>
      <c r="H372" s="13"/>
      <c r="I372" s="22">
        <v>0</v>
      </c>
      <c r="J372" s="22">
        <f>G372*I372</f>
        <v>0</v>
      </c>
    </row>
    <row r="373" spans="1:10" x14ac:dyDescent="0.15">
      <c r="E373" s="13" t="s">
        <v>36</v>
      </c>
    </row>
    <row r="374" spans="1:10" ht="14.25" x14ac:dyDescent="0.15">
      <c r="A374" s="19" t="s">
        <v>794</v>
      </c>
      <c r="B374" s="20"/>
      <c r="C374" s="20"/>
      <c r="D374" s="13"/>
      <c r="E374" s="13" t="s">
        <v>33</v>
      </c>
      <c r="F374" s="21" t="str">
        <f>VLOOKUP($E374,'Приложение 4'!$B$3:$C$19,2,FALSE)</f>
        <v>т</v>
      </c>
      <c r="G374" s="13"/>
      <c r="H374" s="13"/>
      <c r="I374" s="22">
        <v>0</v>
      </c>
      <c r="J374" s="22">
        <f>G374*I374</f>
        <v>0</v>
      </c>
    </row>
    <row r="375" spans="1:10" x14ac:dyDescent="0.15">
      <c r="E375" s="13" t="s">
        <v>36</v>
      </c>
    </row>
    <row r="376" spans="1:10" ht="14.25" x14ac:dyDescent="0.15">
      <c r="A376" s="19" t="s">
        <v>795</v>
      </c>
      <c r="B376" s="20"/>
      <c r="C376" s="20"/>
      <c r="D376" s="13"/>
      <c r="E376" s="13" t="s">
        <v>33</v>
      </c>
      <c r="F376" s="21" t="str">
        <f>VLOOKUP($E376,'Приложение 4'!$B$3:$C$19,2,FALSE)</f>
        <v>т</v>
      </c>
      <c r="G376" s="13"/>
      <c r="H376" s="13"/>
      <c r="I376" s="22">
        <v>0</v>
      </c>
      <c r="J376" s="22">
        <f>G376*I376</f>
        <v>0</v>
      </c>
    </row>
    <row r="377" spans="1:10" x14ac:dyDescent="0.15">
      <c r="E377" s="13" t="s">
        <v>36</v>
      </c>
    </row>
    <row r="378" spans="1:10" ht="14.25" x14ac:dyDescent="0.15">
      <c r="A378" s="19" t="s">
        <v>796</v>
      </c>
      <c r="B378" s="20"/>
      <c r="C378" s="20"/>
      <c r="D378" s="13"/>
      <c r="E378" s="13" t="s">
        <v>33</v>
      </c>
      <c r="F378" s="21" t="str">
        <f>VLOOKUP($E378,'Приложение 4'!$B$3:$C$19,2,FALSE)</f>
        <v>т</v>
      </c>
      <c r="G378" s="13"/>
      <c r="H378" s="13"/>
      <c r="I378" s="22">
        <v>0</v>
      </c>
      <c r="J378" s="22">
        <f>G378*I378</f>
        <v>0</v>
      </c>
    </row>
    <row r="379" spans="1:10" x14ac:dyDescent="0.15">
      <c r="E379" s="13" t="s">
        <v>36</v>
      </c>
    </row>
    <row r="380" spans="1:10" ht="14.25" x14ac:dyDescent="0.15">
      <c r="A380" s="19" t="s">
        <v>797</v>
      </c>
      <c r="B380" s="20"/>
      <c r="C380" s="20"/>
      <c r="D380" s="13"/>
      <c r="E380" s="13" t="s">
        <v>33</v>
      </c>
      <c r="F380" s="21" t="str">
        <f>VLOOKUP($E380,'Приложение 4'!$B$3:$C$19,2,FALSE)</f>
        <v>т</v>
      </c>
      <c r="G380" s="13"/>
      <c r="H380" s="13"/>
      <c r="I380" s="22">
        <v>0</v>
      </c>
      <c r="J380" s="22">
        <f>G380*I380</f>
        <v>0</v>
      </c>
    </row>
    <row r="381" spans="1:10" x14ac:dyDescent="0.15">
      <c r="E381" s="13" t="s">
        <v>36</v>
      </c>
    </row>
    <row r="382" spans="1:10" ht="14.25" x14ac:dyDescent="0.15">
      <c r="A382" s="19" t="s">
        <v>798</v>
      </c>
      <c r="B382" s="20"/>
      <c r="C382" s="20"/>
      <c r="D382" s="13"/>
      <c r="E382" s="13" t="s">
        <v>33</v>
      </c>
      <c r="F382" s="21" t="str">
        <f>VLOOKUP($E382,'Приложение 4'!$B$3:$C$19,2,FALSE)</f>
        <v>т</v>
      </c>
      <c r="G382" s="13"/>
      <c r="H382" s="13"/>
      <c r="I382" s="22">
        <v>0</v>
      </c>
      <c r="J382" s="22">
        <f>G382*I382</f>
        <v>0</v>
      </c>
    </row>
    <row r="383" spans="1:10" x14ac:dyDescent="0.15">
      <c r="E383" s="13" t="s">
        <v>36</v>
      </c>
    </row>
    <row r="384" spans="1:10" ht="14.25" x14ac:dyDescent="0.15">
      <c r="A384" s="19" t="s">
        <v>799</v>
      </c>
      <c r="B384" s="20"/>
      <c r="C384" s="20"/>
      <c r="D384" s="13"/>
      <c r="E384" s="13" t="s">
        <v>33</v>
      </c>
      <c r="F384" s="21" t="str">
        <f>VLOOKUP($E384,'Приложение 4'!$B$3:$C$19,2,FALSE)</f>
        <v>т</v>
      </c>
      <c r="G384" s="13"/>
      <c r="H384" s="13"/>
      <c r="I384" s="22">
        <v>0</v>
      </c>
      <c r="J384" s="22">
        <f>G384*I384</f>
        <v>0</v>
      </c>
    </row>
    <row r="385" spans="1:10" x14ac:dyDescent="0.15">
      <c r="E385" s="13" t="s">
        <v>36</v>
      </c>
    </row>
    <row r="386" spans="1:10" ht="14.25" x14ac:dyDescent="0.15">
      <c r="A386" s="19" t="s">
        <v>800</v>
      </c>
      <c r="B386" s="20"/>
      <c r="C386" s="20"/>
      <c r="D386" s="13"/>
      <c r="E386" s="13" t="s">
        <v>33</v>
      </c>
      <c r="F386" s="21" t="str">
        <f>VLOOKUP($E386,'Приложение 4'!$B$3:$C$19,2,FALSE)</f>
        <v>т</v>
      </c>
      <c r="G386" s="13"/>
      <c r="H386" s="13"/>
      <c r="I386" s="22">
        <v>0</v>
      </c>
      <c r="J386" s="22">
        <f>G386*I386</f>
        <v>0</v>
      </c>
    </row>
    <row r="387" spans="1:10" x14ac:dyDescent="0.15">
      <c r="E387" s="13" t="s">
        <v>36</v>
      </c>
    </row>
    <row r="388" spans="1:10" ht="14.25" x14ac:dyDescent="0.15">
      <c r="A388" s="19" t="s">
        <v>801</v>
      </c>
      <c r="B388" s="20"/>
      <c r="C388" s="20"/>
      <c r="D388" s="13"/>
      <c r="E388" s="13" t="s">
        <v>33</v>
      </c>
      <c r="F388" s="21" t="str">
        <f>VLOOKUP($E388,'Приложение 4'!$B$3:$C$19,2,FALSE)</f>
        <v>т</v>
      </c>
      <c r="G388" s="13"/>
      <c r="H388" s="13"/>
      <c r="I388" s="22">
        <v>0</v>
      </c>
      <c r="J388" s="22">
        <f>G388*I388</f>
        <v>0</v>
      </c>
    </row>
    <row r="389" spans="1:10" x14ac:dyDescent="0.15">
      <c r="E389" s="13" t="s">
        <v>36</v>
      </c>
    </row>
    <row r="390" spans="1:10" ht="14.25" x14ac:dyDescent="0.15">
      <c r="A390" s="19" t="s">
        <v>802</v>
      </c>
      <c r="B390" s="20"/>
      <c r="C390" s="20"/>
      <c r="D390" s="13"/>
      <c r="E390" s="13" t="s">
        <v>33</v>
      </c>
      <c r="F390" s="21" t="str">
        <f>VLOOKUP($E390,'Приложение 4'!$B$3:$C$19,2,FALSE)</f>
        <v>т</v>
      </c>
      <c r="G390" s="13"/>
      <c r="H390" s="13"/>
      <c r="I390" s="22">
        <v>0</v>
      </c>
      <c r="J390" s="22">
        <f>G390*I390</f>
        <v>0</v>
      </c>
    </row>
    <row r="391" spans="1:10" x14ac:dyDescent="0.15">
      <c r="E391" s="13" t="s">
        <v>36</v>
      </c>
    </row>
    <row r="392" spans="1:10" ht="14.25" x14ac:dyDescent="0.15">
      <c r="A392" s="19" t="s">
        <v>803</v>
      </c>
      <c r="B392" s="20"/>
      <c r="C392" s="20"/>
      <c r="D392" s="13"/>
      <c r="E392" s="13" t="s">
        <v>33</v>
      </c>
      <c r="F392" s="21" t="str">
        <f>VLOOKUP($E392,'Приложение 4'!$B$3:$C$19,2,FALSE)</f>
        <v>т</v>
      </c>
      <c r="G392" s="13"/>
      <c r="H392" s="13"/>
      <c r="I392" s="22">
        <v>0</v>
      </c>
      <c r="J392" s="22">
        <f>G392*I392</f>
        <v>0</v>
      </c>
    </row>
    <row r="393" spans="1:10" x14ac:dyDescent="0.15">
      <c r="E393" s="13" t="s">
        <v>36</v>
      </c>
    </row>
    <row r="394" spans="1:10" ht="14.25" x14ac:dyDescent="0.15">
      <c r="A394" s="19" t="s">
        <v>804</v>
      </c>
      <c r="B394" s="20"/>
      <c r="C394" s="20"/>
      <c r="D394" s="13"/>
      <c r="E394" s="13" t="s">
        <v>33</v>
      </c>
      <c r="F394" s="21" t="str">
        <f>VLOOKUP($E394,'Приложение 4'!$B$3:$C$19,2,FALSE)</f>
        <v>т</v>
      </c>
      <c r="G394" s="13"/>
      <c r="H394" s="13"/>
      <c r="I394" s="22">
        <v>0</v>
      </c>
      <c r="J394" s="22">
        <f>G394*I394</f>
        <v>0</v>
      </c>
    </row>
    <row r="395" spans="1:10" x14ac:dyDescent="0.15">
      <c r="E395" s="13" t="s">
        <v>36</v>
      </c>
    </row>
    <row r="396" spans="1:10" ht="14.25" x14ac:dyDescent="0.15">
      <c r="A396" s="19" t="s">
        <v>805</v>
      </c>
      <c r="B396" s="20"/>
      <c r="C396" s="20"/>
      <c r="D396" s="13"/>
      <c r="E396" s="13" t="s">
        <v>33</v>
      </c>
      <c r="F396" s="21" t="str">
        <f>VLOOKUP($E396,'Приложение 4'!$B$3:$C$19,2,FALSE)</f>
        <v>т</v>
      </c>
      <c r="G396" s="13"/>
      <c r="H396" s="13"/>
      <c r="I396" s="22">
        <v>0</v>
      </c>
      <c r="J396" s="22">
        <f>G396*I396</f>
        <v>0</v>
      </c>
    </row>
    <row r="397" spans="1:10" x14ac:dyDescent="0.15">
      <c r="E397" s="13" t="s">
        <v>36</v>
      </c>
    </row>
    <row r="398" spans="1:10" ht="14.25" x14ac:dyDescent="0.15">
      <c r="A398" s="19" t="s">
        <v>806</v>
      </c>
      <c r="B398" s="20"/>
      <c r="C398" s="20"/>
      <c r="D398" s="13"/>
      <c r="E398" s="13" t="s">
        <v>33</v>
      </c>
      <c r="F398" s="21" t="str">
        <f>VLOOKUP($E398,'Приложение 4'!$B$3:$C$19,2,FALSE)</f>
        <v>т</v>
      </c>
      <c r="G398" s="13"/>
      <c r="H398" s="13"/>
      <c r="I398" s="22">
        <v>0</v>
      </c>
      <c r="J398" s="22">
        <f>G398*I398</f>
        <v>0</v>
      </c>
    </row>
    <row r="399" spans="1:10" x14ac:dyDescent="0.15">
      <c r="E399" s="13" t="s">
        <v>36</v>
      </c>
    </row>
    <row r="400" spans="1:10" ht="18.75" customHeight="1" x14ac:dyDescent="0.15">
      <c r="A400" s="14" t="s">
        <v>807</v>
      </c>
      <c r="B400" s="15" t="s">
        <v>808</v>
      </c>
      <c r="C400" s="15"/>
      <c r="D400" s="16"/>
      <c r="E400" s="16"/>
      <c r="F400" s="14" t="s">
        <v>10</v>
      </c>
      <c r="G400" s="14">
        <f>SUM(G402:G454)</f>
        <v>99.5</v>
      </c>
      <c r="H400" s="14"/>
      <c r="I400" s="18"/>
      <c r="J400" s="18">
        <f>SUM(J402:J454)</f>
        <v>0</v>
      </c>
    </row>
    <row r="401" spans="1:10" ht="18.75" x14ac:dyDescent="0.15">
      <c r="B401" s="15" t="s">
        <v>809</v>
      </c>
      <c r="F401" s="14" t="s">
        <v>14</v>
      </c>
    </row>
    <row r="402" spans="1:10" ht="30" customHeight="1" x14ac:dyDescent="0.15">
      <c r="A402" s="19" t="s">
        <v>810</v>
      </c>
      <c r="B402" s="20" t="s">
        <v>811</v>
      </c>
      <c r="C402" s="20" t="s">
        <v>812</v>
      </c>
      <c r="D402" s="13" t="s">
        <v>87</v>
      </c>
      <c r="E402" s="13" t="s">
        <v>9</v>
      </c>
      <c r="F402" s="21" t="str">
        <f>VLOOKUP($E402,'Приложение 4'!$B$3:$C$19,2,FALSE)</f>
        <v>т</v>
      </c>
      <c r="G402" s="42">
        <v>36.5</v>
      </c>
      <c r="H402" s="42"/>
      <c r="I402" s="41">
        <v>0</v>
      </c>
      <c r="J402" s="41">
        <f>G402*I402</f>
        <v>0</v>
      </c>
    </row>
    <row r="403" spans="1:10" x14ac:dyDescent="0.15">
      <c r="C403" s="20" t="s">
        <v>813</v>
      </c>
      <c r="D403" s="13" t="s">
        <v>89</v>
      </c>
      <c r="E403" s="13" t="s">
        <v>13</v>
      </c>
      <c r="G403" s="39"/>
      <c r="H403" s="39"/>
      <c r="I403" s="39"/>
      <c r="J403" s="39"/>
    </row>
    <row r="404" spans="1:10" ht="30" customHeight="1" x14ac:dyDescent="0.15">
      <c r="A404" s="19" t="s">
        <v>814</v>
      </c>
      <c r="B404" s="20" t="s">
        <v>815</v>
      </c>
      <c r="C404" s="20" t="s">
        <v>816</v>
      </c>
      <c r="D404" s="13" t="s">
        <v>87</v>
      </c>
      <c r="E404" s="13" t="s">
        <v>9</v>
      </c>
      <c r="F404" s="21" t="str">
        <f>VLOOKUP($E404,'Приложение 4'!$B$3:$C$19,2,FALSE)</f>
        <v>т</v>
      </c>
      <c r="G404" s="39"/>
      <c r="H404" s="39"/>
      <c r="I404" s="39"/>
      <c r="J404" s="39"/>
    </row>
    <row r="405" spans="1:10" x14ac:dyDescent="0.15">
      <c r="C405" s="20" t="s">
        <v>817</v>
      </c>
      <c r="D405" s="13" t="s">
        <v>89</v>
      </c>
      <c r="E405" s="13" t="s">
        <v>13</v>
      </c>
      <c r="G405" s="39"/>
      <c r="H405" s="39"/>
      <c r="I405" s="39"/>
      <c r="J405" s="39"/>
    </row>
    <row r="406" spans="1:10" ht="30" customHeight="1" x14ac:dyDescent="0.15">
      <c r="A406" s="19" t="s">
        <v>818</v>
      </c>
      <c r="B406" s="20" t="s">
        <v>819</v>
      </c>
      <c r="C406" s="20" t="s">
        <v>820</v>
      </c>
      <c r="D406" s="13" t="s">
        <v>87</v>
      </c>
      <c r="E406" s="13" t="s">
        <v>9</v>
      </c>
      <c r="F406" s="21" t="str">
        <f>VLOOKUP($E406,'Приложение 4'!$B$3:$C$19,2,FALSE)</f>
        <v>т</v>
      </c>
      <c r="G406" s="39"/>
      <c r="H406" s="39"/>
      <c r="I406" s="39"/>
      <c r="J406" s="39"/>
    </row>
    <row r="407" spans="1:10" x14ac:dyDescent="0.15">
      <c r="C407" s="20" t="s">
        <v>821</v>
      </c>
      <c r="D407" s="13" t="s">
        <v>89</v>
      </c>
      <c r="E407" s="13" t="s">
        <v>13</v>
      </c>
      <c r="G407" s="39"/>
      <c r="H407" s="39"/>
      <c r="I407" s="39"/>
      <c r="J407" s="39"/>
    </row>
    <row r="408" spans="1:10" ht="30" customHeight="1" x14ac:dyDescent="0.15">
      <c r="A408" s="19" t="s">
        <v>822</v>
      </c>
      <c r="B408" s="20" t="s">
        <v>823</v>
      </c>
      <c r="C408" s="20" t="s">
        <v>824</v>
      </c>
      <c r="D408" s="13" t="s">
        <v>87</v>
      </c>
      <c r="E408" s="13" t="s">
        <v>9</v>
      </c>
      <c r="F408" s="21" t="str">
        <f>VLOOKUP($E408,'Приложение 4'!$B$3:$C$19,2,FALSE)</f>
        <v>т</v>
      </c>
      <c r="G408" s="39"/>
      <c r="H408" s="39"/>
      <c r="I408" s="39"/>
      <c r="J408" s="39"/>
    </row>
    <row r="409" spans="1:10" x14ac:dyDescent="0.15">
      <c r="C409" s="20" t="s">
        <v>825</v>
      </c>
      <c r="D409" s="13" t="s">
        <v>89</v>
      </c>
      <c r="E409" s="13" t="s">
        <v>13</v>
      </c>
      <c r="G409" s="39"/>
      <c r="H409" s="39"/>
      <c r="I409" s="39"/>
      <c r="J409" s="39"/>
    </row>
    <row r="410" spans="1:10" ht="30" customHeight="1" x14ac:dyDescent="0.15">
      <c r="A410" s="19" t="s">
        <v>826</v>
      </c>
      <c r="B410" s="20" t="s">
        <v>827</v>
      </c>
      <c r="C410" s="20" t="s">
        <v>828</v>
      </c>
      <c r="D410" s="13" t="s">
        <v>87</v>
      </c>
      <c r="E410" s="13" t="s">
        <v>9</v>
      </c>
      <c r="F410" s="21" t="str">
        <f>VLOOKUP($E410,'Приложение 4'!$B$3:$C$19,2,FALSE)</f>
        <v>т</v>
      </c>
      <c r="G410" s="39"/>
      <c r="H410" s="39"/>
      <c r="I410" s="39"/>
      <c r="J410" s="39"/>
    </row>
    <row r="411" spans="1:10" x14ac:dyDescent="0.15">
      <c r="C411" s="20" t="s">
        <v>369</v>
      </c>
      <c r="D411" s="13" t="s">
        <v>89</v>
      </c>
      <c r="E411" s="13" t="s">
        <v>13</v>
      </c>
      <c r="G411" s="39"/>
      <c r="H411" s="39"/>
      <c r="I411" s="39"/>
      <c r="J411" s="39"/>
    </row>
    <row r="412" spans="1:10" ht="30" customHeight="1" x14ac:dyDescent="0.15">
      <c r="A412" s="19" t="s">
        <v>829</v>
      </c>
      <c r="B412" s="20" t="s">
        <v>830</v>
      </c>
      <c r="C412" s="20" t="s">
        <v>831</v>
      </c>
      <c r="D412" s="13" t="s">
        <v>87</v>
      </c>
      <c r="E412" s="13" t="s">
        <v>9</v>
      </c>
      <c r="F412" s="21" t="str">
        <f>VLOOKUP($E412,'Приложение 4'!$B$3:$C$19,2,FALSE)</f>
        <v>т</v>
      </c>
      <c r="G412" s="39"/>
      <c r="H412" s="39"/>
      <c r="I412" s="39"/>
      <c r="J412" s="39"/>
    </row>
    <row r="413" spans="1:10" x14ac:dyDescent="0.15">
      <c r="C413" s="20" t="s">
        <v>152</v>
      </c>
      <c r="D413" s="13" t="s">
        <v>89</v>
      </c>
      <c r="E413" s="13" t="s">
        <v>13</v>
      </c>
      <c r="G413" s="39"/>
      <c r="H413" s="39"/>
      <c r="I413" s="39"/>
      <c r="J413" s="39"/>
    </row>
    <row r="414" spans="1:10" ht="30" customHeight="1" x14ac:dyDescent="0.15">
      <c r="A414" s="19" t="s">
        <v>832</v>
      </c>
      <c r="B414" s="20" t="s">
        <v>377</v>
      </c>
      <c r="C414" s="20" t="s">
        <v>833</v>
      </c>
      <c r="D414" s="13" t="s">
        <v>87</v>
      </c>
      <c r="E414" s="13" t="s">
        <v>9</v>
      </c>
      <c r="F414" s="21" t="str">
        <f>VLOOKUP($E414,'Приложение 4'!$B$3:$C$19,2,FALSE)</f>
        <v>т</v>
      </c>
      <c r="G414" s="39"/>
      <c r="H414" s="39"/>
      <c r="I414" s="39"/>
      <c r="J414" s="39"/>
    </row>
    <row r="415" spans="1:10" x14ac:dyDescent="0.15">
      <c r="C415" s="20" t="s">
        <v>378</v>
      </c>
      <c r="D415" s="13" t="s">
        <v>89</v>
      </c>
      <c r="E415" s="13" t="s">
        <v>13</v>
      </c>
      <c r="G415" s="39"/>
      <c r="H415" s="39"/>
      <c r="I415" s="39"/>
      <c r="J415" s="39"/>
    </row>
    <row r="416" spans="1:10" ht="30" customHeight="1" x14ac:dyDescent="0.15">
      <c r="A416" s="19" t="s">
        <v>834</v>
      </c>
      <c r="B416" s="20" t="s">
        <v>835</v>
      </c>
      <c r="C416" s="30" t="s">
        <v>836</v>
      </c>
      <c r="D416" s="13" t="s">
        <v>87</v>
      </c>
      <c r="E416" s="13" t="s">
        <v>9</v>
      </c>
      <c r="F416" s="21" t="str">
        <f>VLOOKUP($E416,'Приложение 4'!$B$3:$C$19,2,FALSE)</f>
        <v>т</v>
      </c>
      <c r="G416" s="39"/>
      <c r="H416" s="39"/>
      <c r="I416" s="39"/>
      <c r="J416" s="39"/>
    </row>
    <row r="417" spans="1:10" x14ac:dyDescent="0.15">
      <c r="C417" s="30" t="s">
        <v>837</v>
      </c>
      <c r="D417" s="13" t="s">
        <v>89</v>
      </c>
      <c r="E417" s="13" t="s">
        <v>13</v>
      </c>
      <c r="G417" s="39"/>
      <c r="H417" s="39"/>
      <c r="I417" s="39"/>
      <c r="J417" s="39"/>
    </row>
    <row r="418" spans="1:10" ht="30" customHeight="1" x14ac:dyDescent="0.15">
      <c r="A418" s="19" t="s">
        <v>838</v>
      </c>
      <c r="B418" s="20" t="s">
        <v>839</v>
      </c>
      <c r="C418" s="31" t="s">
        <v>840</v>
      </c>
      <c r="D418" s="13" t="s">
        <v>87</v>
      </c>
      <c r="E418" s="13" t="s">
        <v>9</v>
      </c>
      <c r="F418" s="21" t="str">
        <f>VLOOKUP($E418,'Приложение 4'!$B$3:$C$19,2,FALSE)</f>
        <v>т</v>
      </c>
      <c r="G418" s="39"/>
      <c r="H418" s="39"/>
      <c r="I418" s="39"/>
      <c r="J418" s="39"/>
    </row>
    <row r="419" spans="1:10" x14ac:dyDescent="0.15">
      <c r="B419" s="20" t="s">
        <v>841</v>
      </c>
      <c r="C419" s="31" t="s">
        <v>842</v>
      </c>
      <c r="D419" s="13" t="s">
        <v>89</v>
      </c>
      <c r="E419" s="13" t="s">
        <v>13</v>
      </c>
      <c r="G419" s="39"/>
      <c r="H419" s="39"/>
      <c r="I419" s="39"/>
      <c r="J419" s="39"/>
    </row>
    <row r="420" spans="1:10" ht="30" customHeight="1" x14ac:dyDescent="0.15">
      <c r="A420" s="19" t="s">
        <v>843</v>
      </c>
      <c r="B420" s="20" t="s">
        <v>844</v>
      </c>
      <c r="C420" s="20" t="s">
        <v>845</v>
      </c>
      <c r="D420" s="13" t="s">
        <v>87</v>
      </c>
      <c r="E420" s="13" t="s">
        <v>9</v>
      </c>
      <c r="F420" s="21" t="str">
        <f>VLOOKUP($E420,'Приложение 4'!$B$3:$C$19,2,FALSE)</f>
        <v>т</v>
      </c>
      <c r="G420" s="39"/>
      <c r="H420" s="39"/>
      <c r="I420" s="39"/>
      <c r="J420" s="39"/>
    </row>
    <row r="421" spans="1:10" x14ac:dyDescent="0.15">
      <c r="C421" s="20" t="s">
        <v>846</v>
      </c>
      <c r="D421" s="13" t="s">
        <v>89</v>
      </c>
      <c r="E421" s="13" t="s">
        <v>13</v>
      </c>
      <c r="G421" s="39"/>
      <c r="H421" s="39"/>
      <c r="I421" s="39"/>
      <c r="J421" s="39"/>
    </row>
    <row r="422" spans="1:10" ht="30" customHeight="1" x14ac:dyDescent="0.15">
      <c r="A422" s="19" t="s">
        <v>847</v>
      </c>
      <c r="B422" s="20"/>
      <c r="C422" s="20" t="s">
        <v>848</v>
      </c>
      <c r="D422" s="13" t="s">
        <v>87</v>
      </c>
      <c r="E422" s="13" t="s">
        <v>9</v>
      </c>
      <c r="F422" s="21" t="str">
        <f>VLOOKUP($E422,'Приложение 4'!$B$3:$C$19,2,FALSE)</f>
        <v>т</v>
      </c>
      <c r="G422" s="40"/>
      <c r="H422" s="40"/>
      <c r="I422" s="40"/>
      <c r="J422" s="40"/>
    </row>
    <row r="423" spans="1:10" x14ac:dyDescent="0.15">
      <c r="C423" s="20" t="s">
        <v>849</v>
      </c>
      <c r="D423" s="13" t="s">
        <v>89</v>
      </c>
      <c r="E423" s="13" t="s">
        <v>13</v>
      </c>
    </row>
    <row r="424" spans="1:10" ht="30" customHeight="1" x14ac:dyDescent="0.15">
      <c r="A424" s="19" t="s">
        <v>850</v>
      </c>
      <c r="B424" s="20" t="s">
        <v>851</v>
      </c>
      <c r="C424" s="20" t="s">
        <v>852</v>
      </c>
      <c r="D424" s="13" t="s">
        <v>87</v>
      </c>
      <c r="E424" s="13" t="s">
        <v>9</v>
      </c>
      <c r="F424" s="21" t="str">
        <f>VLOOKUP($E424,'Приложение 4'!$B$3:$C$19,2,FALSE)</f>
        <v>т</v>
      </c>
      <c r="G424" s="42">
        <v>50</v>
      </c>
      <c r="H424" s="42"/>
      <c r="I424" s="41">
        <v>0</v>
      </c>
      <c r="J424" s="41">
        <f>G424*I424</f>
        <v>0</v>
      </c>
    </row>
    <row r="425" spans="1:10" x14ac:dyDescent="0.15">
      <c r="C425" s="20" t="s">
        <v>853</v>
      </c>
      <c r="D425" s="13" t="s">
        <v>89</v>
      </c>
      <c r="E425" s="13" t="s">
        <v>13</v>
      </c>
      <c r="G425" s="39"/>
      <c r="H425" s="39"/>
      <c r="I425" s="39"/>
      <c r="J425" s="39"/>
    </row>
    <row r="426" spans="1:10" ht="30" customHeight="1" x14ac:dyDescent="0.15">
      <c r="A426" s="19" t="s">
        <v>854</v>
      </c>
      <c r="B426" s="20" t="s">
        <v>855</v>
      </c>
      <c r="C426" s="20" t="s">
        <v>856</v>
      </c>
      <c r="D426" s="13" t="s">
        <v>87</v>
      </c>
      <c r="E426" s="13" t="s">
        <v>9</v>
      </c>
      <c r="F426" s="21" t="str">
        <f>VLOOKUP($E426,'Приложение 4'!$B$3:$C$19,2,FALSE)</f>
        <v>т</v>
      </c>
      <c r="G426" s="39"/>
      <c r="H426" s="39"/>
      <c r="I426" s="39"/>
      <c r="J426" s="39"/>
    </row>
    <row r="427" spans="1:10" x14ac:dyDescent="0.15">
      <c r="C427" s="20" t="s">
        <v>857</v>
      </c>
      <c r="D427" s="13" t="s">
        <v>89</v>
      </c>
      <c r="E427" s="13" t="s">
        <v>13</v>
      </c>
      <c r="G427" s="39"/>
      <c r="H427" s="39"/>
      <c r="I427" s="39"/>
      <c r="J427" s="39"/>
    </row>
    <row r="428" spans="1:10" ht="30" customHeight="1" x14ac:dyDescent="0.15">
      <c r="A428" s="19" t="s">
        <v>858</v>
      </c>
      <c r="B428" s="20" t="s">
        <v>859</v>
      </c>
      <c r="C428" s="20" t="s">
        <v>860</v>
      </c>
      <c r="D428" s="13" t="s">
        <v>87</v>
      </c>
      <c r="E428" s="13" t="s">
        <v>9</v>
      </c>
      <c r="F428" s="21" t="str">
        <f>VLOOKUP($E428,'Приложение 4'!$B$3:$C$19,2,FALSE)</f>
        <v>т</v>
      </c>
      <c r="G428" s="39"/>
      <c r="H428" s="39"/>
      <c r="I428" s="39"/>
      <c r="J428" s="39"/>
    </row>
    <row r="429" spans="1:10" x14ac:dyDescent="0.15">
      <c r="C429" s="20" t="s">
        <v>861</v>
      </c>
      <c r="D429" s="13" t="s">
        <v>89</v>
      </c>
      <c r="E429" s="13" t="s">
        <v>13</v>
      </c>
      <c r="G429" s="39"/>
      <c r="H429" s="39"/>
      <c r="I429" s="39"/>
      <c r="J429" s="39"/>
    </row>
    <row r="430" spans="1:10" ht="30" customHeight="1" x14ac:dyDescent="0.15">
      <c r="A430" s="19" t="s">
        <v>862</v>
      </c>
      <c r="B430" s="20" t="s">
        <v>863</v>
      </c>
      <c r="C430" s="20" t="s">
        <v>864</v>
      </c>
      <c r="D430" s="13" t="s">
        <v>87</v>
      </c>
      <c r="E430" s="13" t="s">
        <v>9</v>
      </c>
      <c r="F430" s="21" t="str">
        <f>VLOOKUP($E430,'Приложение 4'!$B$3:$C$19,2,FALSE)</f>
        <v>т</v>
      </c>
      <c r="G430" s="39"/>
      <c r="H430" s="39"/>
      <c r="I430" s="39"/>
      <c r="J430" s="39"/>
    </row>
    <row r="431" spans="1:10" x14ac:dyDescent="0.15">
      <c r="C431" s="20" t="s">
        <v>865</v>
      </c>
      <c r="D431" s="13" t="s">
        <v>89</v>
      </c>
      <c r="E431" s="13" t="s">
        <v>13</v>
      </c>
      <c r="G431" s="39"/>
      <c r="H431" s="39"/>
      <c r="I431" s="39"/>
      <c r="J431" s="39"/>
    </row>
    <row r="432" spans="1:10" ht="30" customHeight="1" x14ac:dyDescent="0.15">
      <c r="A432" s="19" t="s">
        <v>866</v>
      </c>
      <c r="B432" s="20" t="s">
        <v>867</v>
      </c>
      <c r="C432" s="20" t="s">
        <v>868</v>
      </c>
      <c r="D432" s="13" t="s">
        <v>87</v>
      </c>
      <c r="E432" s="13" t="s">
        <v>9</v>
      </c>
      <c r="F432" s="21" t="str">
        <f>VLOOKUP($E432,'Приложение 4'!$B$3:$C$19,2,FALSE)</f>
        <v>т</v>
      </c>
      <c r="G432" s="39"/>
      <c r="H432" s="39"/>
      <c r="I432" s="39"/>
      <c r="J432" s="39"/>
    </row>
    <row r="433" spans="1:10" x14ac:dyDescent="0.15">
      <c r="C433" s="20" t="s">
        <v>869</v>
      </c>
      <c r="D433" s="13" t="s">
        <v>89</v>
      </c>
      <c r="E433" s="13" t="s">
        <v>13</v>
      </c>
      <c r="G433" s="39"/>
      <c r="H433" s="39"/>
      <c r="I433" s="39"/>
      <c r="J433" s="39"/>
    </row>
    <row r="434" spans="1:10" ht="30" customHeight="1" x14ac:dyDescent="0.15">
      <c r="A434" s="19" t="s">
        <v>870</v>
      </c>
      <c r="B434" s="20" t="s">
        <v>871</v>
      </c>
      <c r="C434" s="20" t="s">
        <v>872</v>
      </c>
      <c r="D434" s="13" t="s">
        <v>87</v>
      </c>
      <c r="E434" s="13" t="s">
        <v>9</v>
      </c>
      <c r="F434" s="21" t="str">
        <f>VLOOKUP($E434,'Приложение 4'!$B$3:$C$19,2,FALSE)</f>
        <v>т</v>
      </c>
      <c r="G434" s="39"/>
      <c r="H434" s="39"/>
      <c r="I434" s="39"/>
      <c r="J434" s="39"/>
    </row>
    <row r="435" spans="1:10" x14ac:dyDescent="0.15">
      <c r="C435" s="20" t="s">
        <v>152</v>
      </c>
      <c r="D435" s="13" t="s">
        <v>89</v>
      </c>
      <c r="E435" s="13" t="s">
        <v>13</v>
      </c>
      <c r="G435" s="39"/>
      <c r="H435" s="39"/>
      <c r="I435" s="39"/>
      <c r="J435" s="39"/>
    </row>
    <row r="436" spans="1:10" ht="30" customHeight="1" x14ac:dyDescent="0.15">
      <c r="A436" s="19" t="s">
        <v>873</v>
      </c>
      <c r="B436" s="20" t="s">
        <v>874</v>
      </c>
      <c r="C436" s="20" t="s">
        <v>875</v>
      </c>
      <c r="D436" s="13" t="s">
        <v>87</v>
      </c>
      <c r="E436" s="13" t="s">
        <v>9</v>
      </c>
      <c r="F436" s="21" t="str">
        <f>VLOOKUP($E436,'Приложение 4'!$B$3:$C$19,2,FALSE)</f>
        <v>т</v>
      </c>
      <c r="G436" s="39"/>
      <c r="H436" s="39"/>
      <c r="I436" s="39"/>
      <c r="J436" s="39"/>
    </row>
    <row r="437" spans="1:10" x14ac:dyDescent="0.15">
      <c r="C437" s="20" t="s">
        <v>876</v>
      </c>
      <c r="D437" s="13" t="s">
        <v>89</v>
      </c>
      <c r="E437" s="13" t="s">
        <v>13</v>
      </c>
      <c r="G437" s="39"/>
      <c r="H437" s="39"/>
      <c r="I437" s="39"/>
      <c r="J437" s="39"/>
    </row>
    <row r="438" spans="1:10" ht="30" customHeight="1" x14ac:dyDescent="0.15">
      <c r="A438" s="19" t="s">
        <v>877</v>
      </c>
      <c r="B438" s="20" t="s">
        <v>878</v>
      </c>
      <c r="C438" s="20" t="s">
        <v>879</v>
      </c>
      <c r="D438" s="13" t="s">
        <v>87</v>
      </c>
      <c r="E438" s="13" t="s">
        <v>9</v>
      </c>
      <c r="F438" s="21" t="str">
        <f>VLOOKUP($E438,'Приложение 4'!$B$3:$C$19,2,FALSE)</f>
        <v>т</v>
      </c>
      <c r="G438" s="39"/>
      <c r="H438" s="39"/>
      <c r="I438" s="39"/>
      <c r="J438" s="39"/>
    </row>
    <row r="439" spans="1:10" x14ac:dyDescent="0.15">
      <c r="C439" s="20" t="s">
        <v>880</v>
      </c>
      <c r="D439" s="13" t="s">
        <v>89</v>
      </c>
      <c r="E439" s="13" t="s">
        <v>13</v>
      </c>
      <c r="G439" s="39"/>
      <c r="H439" s="39"/>
      <c r="I439" s="39"/>
      <c r="J439" s="39"/>
    </row>
    <row r="440" spans="1:10" ht="30" customHeight="1" x14ac:dyDescent="0.15">
      <c r="A440" s="19" t="s">
        <v>881</v>
      </c>
      <c r="B440" s="20" t="s">
        <v>882</v>
      </c>
      <c r="C440" s="20" t="s">
        <v>883</v>
      </c>
      <c r="D440" s="13" t="s">
        <v>87</v>
      </c>
      <c r="E440" s="13" t="s">
        <v>9</v>
      </c>
      <c r="F440" s="21" t="str">
        <f>VLOOKUP($E440,'Приложение 4'!$B$3:$C$19,2,FALSE)</f>
        <v>т</v>
      </c>
      <c r="G440" s="39"/>
      <c r="H440" s="39"/>
      <c r="I440" s="39"/>
      <c r="J440" s="39"/>
    </row>
    <row r="441" spans="1:10" x14ac:dyDescent="0.15">
      <c r="C441" s="20" t="s">
        <v>884</v>
      </c>
      <c r="D441" s="13" t="s">
        <v>89</v>
      </c>
      <c r="E441" s="13" t="s">
        <v>13</v>
      </c>
      <c r="G441" s="39"/>
      <c r="H441" s="39"/>
      <c r="I441" s="39"/>
      <c r="J441" s="39"/>
    </row>
    <row r="442" spans="1:10" ht="30" customHeight="1" x14ac:dyDescent="0.15">
      <c r="A442" s="19" t="s">
        <v>885</v>
      </c>
      <c r="B442" s="20" t="s">
        <v>886</v>
      </c>
      <c r="C442" s="20" t="s">
        <v>887</v>
      </c>
      <c r="D442" s="13" t="s">
        <v>87</v>
      </c>
      <c r="E442" s="13" t="s">
        <v>9</v>
      </c>
      <c r="F442" s="21" t="str">
        <f>VLOOKUP($E442,'Приложение 4'!$B$3:$C$19,2,FALSE)</f>
        <v>т</v>
      </c>
      <c r="G442" s="39"/>
      <c r="H442" s="39"/>
      <c r="I442" s="39"/>
      <c r="J442" s="39"/>
    </row>
    <row r="443" spans="1:10" x14ac:dyDescent="0.15">
      <c r="C443" s="20" t="s">
        <v>888</v>
      </c>
      <c r="D443" s="13" t="s">
        <v>89</v>
      </c>
      <c r="E443" s="13" t="s">
        <v>13</v>
      </c>
      <c r="G443" s="39"/>
      <c r="H443" s="39"/>
      <c r="I443" s="39"/>
      <c r="J443" s="39"/>
    </row>
    <row r="444" spans="1:10" ht="30" customHeight="1" x14ac:dyDescent="0.15">
      <c r="A444" s="19" t="s">
        <v>889</v>
      </c>
      <c r="B444" s="20" t="s">
        <v>890</v>
      </c>
      <c r="C444" s="20" t="s">
        <v>891</v>
      </c>
      <c r="D444" s="13" t="s">
        <v>87</v>
      </c>
      <c r="E444" s="13" t="s">
        <v>9</v>
      </c>
      <c r="F444" s="21" t="str">
        <f>VLOOKUP($E444,'Приложение 4'!$B$3:$C$19,2,FALSE)</f>
        <v>т</v>
      </c>
      <c r="G444" s="39"/>
      <c r="H444" s="39"/>
      <c r="I444" s="39"/>
      <c r="J444" s="39"/>
    </row>
    <row r="445" spans="1:10" x14ac:dyDescent="0.15">
      <c r="C445" s="20" t="s">
        <v>892</v>
      </c>
      <c r="D445" s="13" t="s">
        <v>89</v>
      </c>
      <c r="E445" s="13" t="s">
        <v>13</v>
      </c>
      <c r="G445" s="39"/>
      <c r="H445" s="39"/>
      <c r="I445" s="39"/>
      <c r="J445" s="39"/>
    </row>
    <row r="446" spans="1:10" ht="30" customHeight="1" x14ac:dyDescent="0.15">
      <c r="A446" s="19" t="s">
        <v>893</v>
      </c>
      <c r="B446" s="20"/>
      <c r="C446" s="20" t="s">
        <v>894</v>
      </c>
      <c r="D446" s="13" t="s">
        <v>87</v>
      </c>
      <c r="E446" s="13" t="s">
        <v>9</v>
      </c>
      <c r="F446" s="21" t="str">
        <f>VLOOKUP($E446,'Приложение 4'!$B$3:$C$19,2,FALSE)</f>
        <v>т</v>
      </c>
      <c r="G446" s="40"/>
      <c r="H446" s="40"/>
      <c r="I446" s="40"/>
      <c r="J446" s="40"/>
    </row>
    <row r="447" spans="1:10" x14ac:dyDescent="0.15">
      <c r="C447" s="20" t="s">
        <v>895</v>
      </c>
      <c r="D447" s="13" t="s">
        <v>89</v>
      </c>
      <c r="E447" s="13" t="s">
        <v>13</v>
      </c>
    </row>
    <row r="448" spans="1:10" ht="30" customHeight="1" x14ac:dyDescent="0.15">
      <c r="A448" s="19" t="s">
        <v>896</v>
      </c>
      <c r="B448" s="20" t="s">
        <v>142</v>
      </c>
      <c r="C448" s="20" t="s">
        <v>897</v>
      </c>
      <c r="D448" s="13" t="s">
        <v>87</v>
      </c>
      <c r="E448" s="13" t="s">
        <v>9</v>
      </c>
      <c r="F448" s="21" t="str">
        <f>VLOOKUP($E448,'Приложение 4'!$B$3:$C$19,2,FALSE)</f>
        <v>т</v>
      </c>
      <c r="G448" s="13">
        <v>6.5</v>
      </c>
      <c r="H448" s="13"/>
      <c r="I448" s="22">
        <v>0</v>
      </c>
      <c r="J448" s="22">
        <f>G448*I448</f>
        <v>0</v>
      </c>
    </row>
    <row r="449" spans="1:10" x14ac:dyDescent="0.15">
      <c r="C449" s="20" t="s">
        <v>898</v>
      </c>
      <c r="D449" s="13" t="s">
        <v>89</v>
      </c>
      <c r="E449" s="13" t="s">
        <v>13</v>
      </c>
    </row>
    <row r="450" spans="1:10" ht="30" customHeight="1" x14ac:dyDescent="0.15">
      <c r="A450" s="19" t="s">
        <v>899</v>
      </c>
      <c r="B450" s="20" t="s">
        <v>166</v>
      </c>
      <c r="C450" s="20" t="s">
        <v>900</v>
      </c>
      <c r="D450" s="13" t="s">
        <v>87</v>
      </c>
      <c r="E450" s="13" t="s">
        <v>9</v>
      </c>
      <c r="F450" s="21" t="str">
        <f>VLOOKUP($E450,'Приложение 4'!$B$3:$C$19,2,FALSE)</f>
        <v>т</v>
      </c>
      <c r="G450" s="13">
        <v>6.5</v>
      </c>
      <c r="H450" s="13"/>
      <c r="I450" s="22">
        <v>0</v>
      </c>
      <c r="J450" s="22">
        <f>G450*I450</f>
        <v>0</v>
      </c>
    </row>
    <row r="451" spans="1:10" x14ac:dyDescent="0.15">
      <c r="C451" s="20" t="s">
        <v>901</v>
      </c>
      <c r="D451" s="13" t="s">
        <v>89</v>
      </c>
      <c r="E451" s="13" t="s">
        <v>13</v>
      </c>
    </row>
    <row r="452" spans="1:10" ht="30" customHeight="1" x14ac:dyDescent="0.15">
      <c r="A452" s="19" t="s">
        <v>902</v>
      </c>
      <c r="B452" s="20" t="s">
        <v>903</v>
      </c>
      <c r="C452" s="20" t="s">
        <v>904</v>
      </c>
      <c r="D452" s="13" t="s">
        <v>87</v>
      </c>
      <c r="E452" s="13" t="s">
        <v>9</v>
      </c>
      <c r="F452" s="21" t="str">
        <f>VLOOKUP($E452,'Приложение 4'!$B$3:$C$19,2,FALSE)</f>
        <v>т</v>
      </c>
      <c r="G452" s="13"/>
      <c r="H452" s="13"/>
      <c r="I452" s="22">
        <v>0</v>
      </c>
      <c r="J452" s="22">
        <f>G452*I452</f>
        <v>0</v>
      </c>
    </row>
    <row r="453" spans="1:10" x14ac:dyDescent="0.15">
      <c r="C453" s="20" t="s">
        <v>905</v>
      </c>
      <c r="D453" s="13" t="s">
        <v>89</v>
      </c>
      <c r="E453" s="13" t="s">
        <v>13</v>
      </c>
    </row>
    <row r="454" spans="1:10" ht="30" customHeight="1" x14ac:dyDescent="0.15">
      <c r="A454" s="19" t="s">
        <v>906</v>
      </c>
      <c r="B454" s="20" t="s">
        <v>907</v>
      </c>
      <c r="C454" s="20" t="s">
        <v>908</v>
      </c>
      <c r="D454" s="13" t="s">
        <v>87</v>
      </c>
      <c r="E454" s="13" t="s">
        <v>9</v>
      </c>
      <c r="F454" s="21" t="str">
        <f>VLOOKUP($E454,'Приложение 4'!$B$3:$C$19,2,FALSE)</f>
        <v>т</v>
      </c>
      <c r="G454" s="13"/>
      <c r="H454" s="13"/>
      <c r="I454" s="22">
        <v>0</v>
      </c>
      <c r="J454" s="22">
        <f>G454*I454</f>
        <v>0</v>
      </c>
    </row>
    <row r="455" spans="1:10" x14ac:dyDescent="0.15">
      <c r="C455" s="20" t="s">
        <v>909</v>
      </c>
      <c r="D455" s="13" t="s">
        <v>89</v>
      </c>
      <c r="E455" s="13" t="s">
        <v>13</v>
      </c>
    </row>
    <row r="456" spans="1:10" ht="18.75" customHeight="1" x14ac:dyDescent="0.15">
      <c r="A456" s="14" t="s">
        <v>910</v>
      </c>
      <c r="B456" s="15" t="s">
        <v>911</v>
      </c>
      <c r="C456" s="15"/>
      <c r="D456" s="16"/>
      <c r="E456" s="16"/>
      <c r="F456" s="14" t="s">
        <v>10</v>
      </c>
      <c r="G456" s="14">
        <f>SUM(G458:G494)</f>
        <v>808.65</v>
      </c>
      <c r="H456" s="14"/>
      <c r="I456" s="18"/>
      <c r="J456" s="18">
        <f>SUM(J458:J494)</f>
        <v>0</v>
      </c>
    </row>
    <row r="457" spans="1:10" ht="18.75" x14ac:dyDescent="0.15">
      <c r="B457" s="15" t="s">
        <v>912</v>
      </c>
      <c r="F457" s="14" t="s">
        <v>14</v>
      </c>
    </row>
    <row r="458" spans="1:10" ht="45" customHeight="1" x14ac:dyDescent="0.15">
      <c r="A458" s="19" t="s">
        <v>913</v>
      </c>
      <c r="B458" s="20"/>
      <c r="C458" s="20" t="s">
        <v>914</v>
      </c>
      <c r="D458" s="13" t="s">
        <v>87</v>
      </c>
      <c r="E458" s="13" t="s">
        <v>17</v>
      </c>
      <c r="F458" s="21" t="str">
        <f>VLOOKUP($E458,'Приложение 4'!$B$3:$C$19,2,FALSE)</f>
        <v>т</v>
      </c>
      <c r="G458" s="13">
        <v>40.35</v>
      </c>
      <c r="H458" s="13" t="s">
        <v>915</v>
      </c>
      <c r="I458" s="22">
        <v>0</v>
      </c>
      <c r="J458" s="22">
        <f>G458*I458</f>
        <v>0</v>
      </c>
    </row>
    <row r="459" spans="1:10" x14ac:dyDescent="0.15">
      <c r="C459" s="20" t="s">
        <v>916</v>
      </c>
      <c r="D459" s="13" t="s">
        <v>89</v>
      </c>
      <c r="E459" s="13" t="s">
        <v>19</v>
      </c>
      <c r="H459" s="13" t="s">
        <v>917</v>
      </c>
    </row>
    <row r="460" spans="1:10" ht="27" x14ac:dyDescent="0.15">
      <c r="A460" s="19" t="s">
        <v>918</v>
      </c>
      <c r="B460" s="20"/>
      <c r="C460" s="20" t="s">
        <v>919</v>
      </c>
      <c r="D460" s="13" t="s">
        <v>87</v>
      </c>
      <c r="E460" s="13" t="s">
        <v>17</v>
      </c>
      <c r="F460" s="21" t="str">
        <f>VLOOKUP($E460,'Приложение 4'!$B$3:$C$19,2,FALSE)</f>
        <v>т</v>
      </c>
      <c r="G460" s="13">
        <v>8.6</v>
      </c>
      <c r="H460" s="13" t="s">
        <v>920</v>
      </c>
      <c r="I460" s="22">
        <v>0</v>
      </c>
      <c r="J460" s="22">
        <f>G460*I460</f>
        <v>0</v>
      </c>
    </row>
    <row r="461" spans="1:10" x14ac:dyDescent="0.15">
      <c r="C461" s="20" t="s">
        <v>921</v>
      </c>
      <c r="D461" s="13" t="s">
        <v>89</v>
      </c>
      <c r="E461" s="13" t="s">
        <v>19</v>
      </c>
      <c r="H461" s="13" t="s">
        <v>922</v>
      </c>
    </row>
    <row r="462" spans="1:10" ht="30" customHeight="1" x14ac:dyDescent="0.15">
      <c r="A462" s="19" t="s">
        <v>923</v>
      </c>
      <c r="B462" s="20"/>
      <c r="C462" s="20" t="s">
        <v>924</v>
      </c>
      <c r="D462" s="13" t="s">
        <v>87</v>
      </c>
      <c r="E462" s="13" t="s">
        <v>17</v>
      </c>
      <c r="F462" s="21" t="str">
        <f>VLOOKUP($E462,'Приложение 4'!$B$3:$C$19,2,FALSE)</f>
        <v>т</v>
      </c>
      <c r="G462" s="13">
        <v>9</v>
      </c>
      <c r="H462" s="13" t="s">
        <v>925</v>
      </c>
      <c r="I462" s="22">
        <v>0</v>
      </c>
      <c r="J462" s="22">
        <f>G462*I462</f>
        <v>0</v>
      </c>
    </row>
    <row r="463" spans="1:10" x14ac:dyDescent="0.15">
      <c r="C463" s="20" t="s">
        <v>926</v>
      </c>
      <c r="D463" s="13" t="s">
        <v>89</v>
      </c>
      <c r="E463" s="13" t="s">
        <v>19</v>
      </c>
      <c r="H463" s="13" t="s">
        <v>927</v>
      </c>
    </row>
    <row r="464" spans="1:10" ht="45" customHeight="1" x14ac:dyDescent="0.15">
      <c r="A464" s="19" t="s">
        <v>928</v>
      </c>
      <c r="B464" s="20"/>
      <c r="C464" s="20" t="s">
        <v>929</v>
      </c>
      <c r="D464" s="13" t="s">
        <v>87</v>
      </c>
      <c r="E464" s="13" t="s">
        <v>17</v>
      </c>
      <c r="F464" s="21" t="str">
        <f>VLOOKUP($E464,'Приложение 4'!$B$3:$C$19,2,FALSE)</f>
        <v>т</v>
      </c>
      <c r="G464" s="13">
        <v>59.5</v>
      </c>
      <c r="H464" s="13" t="s">
        <v>930</v>
      </c>
      <c r="I464" s="22">
        <v>0</v>
      </c>
      <c r="J464" s="22">
        <f>G464*I464</f>
        <v>0</v>
      </c>
    </row>
    <row r="465" spans="1:10" ht="27" x14ac:dyDescent="0.15">
      <c r="C465" s="20" t="s">
        <v>931</v>
      </c>
      <c r="D465" s="13" t="s">
        <v>89</v>
      </c>
      <c r="E465" s="13" t="s">
        <v>19</v>
      </c>
      <c r="H465" s="13" t="s">
        <v>932</v>
      </c>
    </row>
    <row r="466" spans="1:10" ht="75" customHeight="1" x14ac:dyDescent="0.15">
      <c r="A466" s="19" t="s">
        <v>933</v>
      </c>
      <c r="B466" s="20"/>
      <c r="C466" s="20" t="s">
        <v>934</v>
      </c>
      <c r="D466" s="13" t="s">
        <v>87</v>
      </c>
      <c r="E466" s="13" t="s">
        <v>17</v>
      </c>
      <c r="F466" s="21" t="str">
        <f>VLOOKUP($E466,'Приложение 4'!$B$3:$C$19,2,FALSE)</f>
        <v>т</v>
      </c>
      <c r="G466" s="13">
        <v>53.2</v>
      </c>
      <c r="H466" s="13" t="s">
        <v>935</v>
      </c>
      <c r="I466" s="22">
        <v>0</v>
      </c>
      <c r="J466" s="22">
        <f>G466*I466</f>
        <v>0</v>
      </c>
    </row>
    <row r="467" spans="1:10" ht="54" x14ac:dyDescent="0.15">
      <c r="C467" s="20" t="s">
        <v>936</v>
      </c>
      <c r="D467" s="13" t="s">
        <v>89</v>
      </c>
      <c r="E467" s="13" t="s">
        <v>19</v>
      </c>
      <c r="H467" s="13" t="s">
        <v>937</v>
      </c>
    </row>
    <row r="468" spans="1:10" ht="45" customHeight="1" x14ac:dyDescent="0.15">
      <c r="A468" s="19" t="s">
        <v>938</v>
      </c>
      <c r="B468" s="20"/>
      <c r="C468" s="20" t="s">
        <v>939</v>
      </c>
      <c r="D468" s="13" t="s">
        <v>87</v>
      </c>
      <c r="E468" s="13" t="s">
        <v>17</v>
      </c>
      <c r="F468" s="21" t="str">
        <f>VLOOKUP($E468,'Приложение 4'!$B$3:$C$19,2,FALSE)</f>
        <v>т</v>
      </c>
      <c r="G468" s="13">
        <v>35.700000000000003</v>
      </c>
      <c r="H468" s="13" t="s">
        <v>935</v>
      </c>
      <c r="I468" s="22">
        <v>0</v>
      </c>
      <c r="J468" s="22">
        <f>G468*I468</f>
        <v>0</v>
      </c>
    </row>
    <row r="469" spans="1:10" x14ac:dyDescent="0.15">
      <c r="C469" s="20" t="s">
        <v>940</v>
      </c>
      <c r="D469" s="13" t="s">
        <v>89</v>
      </c>
      <c r="E469" s="13" t="s">
        <v>19</v>
      </c>
      <c r="H469" s="13" t="s">
        <v>937</v>
      </c>
    </row>
    <row r="470" spans="1:10" ht="75" customHeight="1" x14ac:dyDescent="0.15">
      <c r="A470" s="19" t="s">
        <v>941</v>
      </c>
      <c r="B470" s="20"/>
      <c r="C470" s="20" t="s">
        <v>942</v>
      </c>
      <c r="D470" s="13" t="s">
        <v>87</v>
      </c>
      <c r="E470" s="13" t="s">
        <v>17</v>
      </c>
      <c r="F470" s="21" t="str">
        <f>VLOOKUP($E470,'Приложение 4'!$B$3:$C$19,2,FALSE)</f>
        <v>т</v>
      </c>
      <c r="G470" s="13">
        <v>153.4</v>
      </c>
      <c r="H470" s="13" t="s">
        <v>935</v>
      </c>
      <c r="I470" s="22">
        <v>0</v>
      </c>
      <c r="J470" s="22">
        <f>G470*I470</f>
        <v>0</v>
      </c>
    </row>
    <row r="471" spans="1:10" ht="67.5" x14ac:dyDescent="0.15">
      <c r="C471" s="20" t="s">
        <v>943</v>
      </c>
      <c r="D471" s="13" t="s">
        <v>89</v>
      </c>
      <c r="E471" s="13" t="s">
        <v>19</v>
      </c>
      <c r="H471" s="13" t="s">
        <v>937</v>
      </c>
    </row>
    <row r="472" spans="1:10" ht="75" customHeight="1" x14ac:dyDescent="0.15">
      <c r="A472" s="19" t="s">
        <v>944</v>
      </c>
      <c r="B472" s="20"/>
      <c r="C472" s="20" t="s">
        <v>945</v>
      </c>
      <c r="D472" s="13" t="s">
        <v>87</v>
      </c>
      <c r="E472" s="13" t="s">
        <v>17</v>
      </c>
      <c r="F472" s="21" t="str">
        <f>VLOOKUP($E472,'Приложение 4'!$B$3:$C$19,2,FALSE)</f>
        <v>т</v>
      </c>
      <c r="G472" s="13">
        <v>159</v>
      </c>
      <c r="H472" s="13" t="s">
        <v>935</v>
      </c>
      <c r="I472" s="22">
        <v>0</v>
      </c>
      <c r="J472" s="22">
        <f>G472*I472</f>
        <v>0</v>
      </c>
    </row>
    <row r="473" spans="1:10" ht="54" x14ac:dyDescent="0.15">
      <c r="C473" s="20" t="s">
        <v>946</v>
      </c>
      <c r="D473" s="13" t="s">
        <v>89</v>
      </c>
      <c r="E473" s="13" t="s">
        <v>19</v>
      </c>
      <c r="H473" s="13" t="s">
        <v>937</v>
      </c>
    </row>
    <row r="474" spans="1:10" ht="75" customHeight="1" x14ac:dyDescent="0.15">
      <c r="A474" s="19" t="s">
        <v>947</v>
      </c>
      <c r="B474" s="20"/>
      <c r="C474" s="20" t="s">
        <v>948</v>
      </c>
      <c r="D474" s="13" t="s">
        <v>87</v>
      </c>
      <c r="E474" s="13" t="s">
        <v>17</v>
      </c>
      <c r="F474" s="21" t="str">
        <f>VLOOKUP($E474,'Приложение 4'!$B$3:$C$19,2,FALSE)</f>
        <v>т</v>
      </c>
      <c r="G474" s="13">
        <v>98.4</v>
      </c>
      <c r="H474" s="13" t="s">
        <v>935</v>
      </c>
      <c r="I474" s="22">
        <v>0</v>
      </c>
      <c r="J474" s="22">
        <f>G474*I474</f>
        <v>0</v>
      </c>
    </row>
    <row r="475" spans="1:10" ht="54" x14ac:dyDescent="0.15">
      <c r="C475" s="20" t="s">
        <v>949</v>
      </c>
      <c r="D475" s="13" t="s">
        <v>89</v>
      </c>
      <c r="E475" s="13" t="s">
        <v>19</v>
      </c>
      <c r="H475" s="13" t="s">
        <v>937</v>
      </c>
    </row>
    <row r="476" spans="1:10" ht="45" customHeight="1" x14ac:dyDescent="0.15">
      <c r="A476" s="19" t="s">
        <v>950</v>
      </c>
      <c r="B476" s="20"/>
      <c r="C476" s="20" t="s">
        <v>951</v>
      </c>
      <c r="D476" s="13" t="s">
        <v>87</v>
      </c>
      <c r="E476" s="13" t="s">
        <v>17</v>
      </c>
      <c r="F476" s="21" t="str">
        <f>VLOOKUP($E476,'Приложение 4'!$B$3:$C$19,2,FALSE)</f>
        <v>т</v>
      </c>
      <c r="G476" s="13">
        <v>105.7</v>
      </c>
      <c r="H476" s="13" t="s">
        <v>952</v>
      </c>
      <c r="I476" s="22">
        <v>0</v>
      </c>
      <c r="J476" s="22">
        <f>G476*I476</f>
        <v>0</v>
      </c>
    </row>
    <row r="477" spans="1:10" x14ac:dyDescent="0.15">
      <c r="C477" s="20" t="s">
        <v>953</v>
      </c>
      <c r="D477" s="13" t="s">
        <v>89</v>
      </c>
      <c r="E477" s="13" t="s">
        <v>19</v>
      </c>
      <c r="H477" s="13" t="s">
        <v>954</v>
      </c>
    </row>
    <row r="478" spans="1:10" ht="45" customHeight="1" x14ac:dyDescent="0.15">
      <c r="A478" s="19" t="s">
        <v>955</v>
      </c>
      <c r="B478" s="20"/>
      <c r="C478" s="20" t="s">
        <v>956</v>
      </c>
      <c r="D478" s="13" t="s">
        <v>87</v>
      </c>
      <c r="E478" s="13" t="s">
        <v>17</v>
      </c>
      <c r="F478" s="21" t="str">
        <f>VLOOKUP($E478,'Приложение 4'!$B$3:$C$19,2,FALSE)</f>
        <v>т</v>
      </c>
      <c r="G478" s="13">
        <v>85.8</v>
      </c>
      <c r="H478" s="13" t="s">
        <v>957</v>
      </c>
      <c r="I478" s="22">
        <v>0</v>
      </c>
      <c r="J478" s="22">
        <f>G478*I478</f>
        <v>0</v>
      </c>
    </row>
    <row r="479" spans="1:10" x14ac:dyDescent="0.15">
      <c r="C479" s="20" t="s">
        <v>958</v>
      </c>
      <c r="D479" s="13" t="s">
        <v>89</v>
      </c>
      <c r="E479" s="13" t="s">
        <v>19</v>
      </c>
      <c r="H479" s="13" t="s">
        <v>959</v>
      </c>
    </row>
    <row r="480" spans="1:10" ht="27" x14ac:dyDescent="0.15">
      <c r="A480" s="19" t="s">
        <v>960</v>
      </c>
      <c r="B480" s="20"/>
      <c r="C480" s="20"/>
      <c r="D480" s="13" t="s">
        <v>87</v>
      </c>
      <c r="E480" s="13" t="s">
        <v>17</v>
      </c>
      <c r="F480" s="21" t="str">
        <f>VLOOKUP($E480,'Приложение 4'!$B$3:$C$19,2,FALSE)</f>
        <v>т</v>
      </c>
      <c r="G480" s="13"/>
      <c r="H480" s="13"/>
      <c r="I480" s="22">
        <v>0</v>
      </c>
      <c r="J480" s="22">
        <f>G480*I480</f>
        <v>0</v>
      </c>
    </row>
    <row r="481" spans="1:10" x14ac:dyDescent="0.15">
      <c r="D481" s="13" t="s">
        <v>89</v>
      </c>
      <c r="E481" s="13" t="s">
        <v>19</v>
      </c>
    </row>
    <row r="482" spans="1:10" ht="27" x14ac:dyDescent="0.15">
      <c r="A482" s="19" t="s">
        <v>961</v>
      </c>
      <c r="B482" s="20"/>
      <c r="C482" s="20"/>
      <c r="D482" s="13" t="s">
        <v>87</v>
      </c>
      <c r="E482" s="13" t="s">
        <v>17</v>
      </c>
      <c r="F482" s="21" t="str">
        <f>VLOOKUP($E482,'Приложение 4'!$B$3:$C$19,2,FALSE)</f>
        <v>т</v>
      </c>
      <c r="G482" s="13"/>
      <c r="H482" s="13"/>
      <c r="I482" s="22">
        <v>0</v>
      </c>
      <c r="J482" s="22">
        <f>G482*I482</f>
        <v>0</v>
      </c>
    </row>
    <row r="483" spans="1:10" x14ac:dyDescent="0.15">
      <c r="D483" s="13" t="s">
        <v>89</v>
      </c>
      <c r="E483" s="13" t="s">
        <v>19</v>
      </c>
    </row>
    <row r="484" spans="1:10" ht="27" x14ac:dyDescent="0.15">
      <c r="A484" s="19" t="s">
        <v>962</v>
      </c>
      <c r="B484" s="20"/>
      <c r="C484" s="20"/>
      <c r="D484" s="13" t="s">
        <v>87</v>
      </c>
      <c r="E484" s="13" t="s">
        <v>17</v>
      </c>
      <c r="F484" s="21" t="str">
        <f>VLOOKUP($E484,'Приложение 4'!$B$3:$C$19,2,FALSE)</f>
        <v>т</v>
      </c>
      <c r="G484" s="13"/>
      <c r="H484" s="13"/>
      <c r="I484" s="22">
        <v>0</v>
      </c>
      <c r="J484" s="22">
        <f>G484*I484</f>
        <v>0</v>
      </c>
    </row>
    <row r="485" spans="1:10" x14ac:dyDescent="0.15">
      <c r="D485" s="13" t="s">
        <v>89</v>
      </c>
      <c r="E485" s="13" t="s">
        <v>19</v>
      </c>
    </row>
    <row r="486" spans="1:10" ht="27" x14ac:dyDescent="0.15">
      <c r="A486" s="19" t="s">
        <v>963</v>
      </c>
      <c r="B486" s="20"/>
      <c r="C486" s="20"/>
      <c r="D486" s="13" t="s">
        <v>87</v>
      </c>
      <c r="E486" s="13" t="s">
        <v>17</v>
      </c>
      <c r="F486" s="21" t="str">
        <f>VLOOKUP($E486,'Приложение 4'!$B$3:$C$19,2,FALSE)</f>
        <v>т</v>
      </c>
      <c r="G486" s="13"/>
      <c r="H486" s="13"/>
      <c r="I486" s="22">
        <v>0</v>
      </c>
      <c r="J486" s="22">
        <f>G486*I486</f>
        <v>0</v>
      </c>
    </row>
    <row r="487" spans="1:10" x14ac:dyDescent="0.15">
      <c r="D487" s="13" t="s">
        <v>89</v>
      </c>
      <c r="E487" s="13" t="s">
        <v>19</v>
      </c>
    </row>
    <row r="488" spans="1:10" ht="27" x14ac:dyDescent="0.15">
      <c r="A488" s="19" t="s">
        <v>964</v>
      </c>
      <c r="B488" s="20"/>
      <c r="C488" s="20"/>
      <c r="D488" s="13" t="s">
        <v>87</v>
      </c>
      <c r="E488" s="13" t="s">
        <v>17</v>
      </c>
      <c r="F488" s="21" t="str">
        <f>VLOOKUP($E488,'Приложение 4'!$B$3:$C$19,2,FALSE)</f>
        <v>т</v>
      </c>
      <c r="G488" s="13"/>
      <c r="H488" s="13"/>
      <c r="I488" s="22">
        <v>0</v>
      </c>
      <c r="J488" s="22">
        <f>G488*I488</f>
        <v>0</v>
      </c>
    </row>
    <row r="489" spans="1:10" x14ac:dyDescent="0.15">
      <c r="D489" s="13" t="s">
        <v>89</v>
      </c>
      <c r="E489" s="13" t="s">
        <v>19</v>
      </c>
    </row>
    <row r="490" spans="1:10" ht="27" x14ac:dyDescent="0.15">
      <c r="A490" s="19" t="s">
        <v>965</v>
      </c>
      <c r="B490" s="20"/>
      <c r="C490" s="20"/>
      <c r="D490" s="13" t="s">
        <v>87</v>
      </c>
      <c r="E490" s="13" t="s">
        <v>17</v>
      </c>
      <c r="F490" s="21" t="str">
        <f>VLOOKUP($E490,'Приложение 4'!$B$3:$C$19,2,FALSE)</f>
        <v>т</v>
      </c>
      <c r="G490" s="13"/>
      <c r="H490" s="13"/>
      <c r="I490" s="22">
        <v>0</v>
      </c>
      <c r="J490" s="22">
        <f>G490*I490</f>
        <v>0</v>
      </c>
    </row>
    <row r="491" spans="1:10" x14ac:dyDescent="0.15">
      <c r="D491" s="13" t="s">
        <v>89</v>
      </c>
      <c r="E491" s="13" t="s">
        <v>19</v>
      </c>
    </row>
    <row r="492" spans="1:10" ht="27" x14ac:dyDescent="0.15">
      <c r="A492" s="19" t="s">
        <v>966</v>
      </c>
      <c r="B492" s="20"/>
      <c r="C492" s="20"/>
      <c r="D492" s="13" t="s">
        <v>87</v>
      </c>
      <c r="E492" s="13" t="s">
        <v>17</v>
      </c>
      <c r="F492" s="21" t="str">
        <f>VLOOKUP($E492,'Приложение 4'!$B$3:$C$19,2,FALSE)</f>
        <v>т</v>
      </c>
      <c r="G492" s="13"/>
      <c r="H492" s="13"/>
      <c r="I492" s="22">
        <v>0</v>
      </c>
      <c r="J492" s="22">
        <f>G492*I492</f>
        <v>0</v>
      </c>
    </row>
    <row r="493" spans="1:10" x14ac:dyDescent="0.15">
      <c r="D493" s="13" t="s">
        <v>89</v>
      </c>
      <c r="E493" s="13" t="s">
        <v>19</v>
      </c>
    </row>
    <row r="494" spans="1:10" ht="27" x14ac:dyDescent="0.15">
      <c r="A494" s="19" t="s">
        <v>967</v>
      </c>
      <c r="B494" s="20"/>
      <c r="C494" s="20"/>
      <c r="D494" s="13" t="s">
        <v>87</v>
      </c>
      <c r="E494" s="13" t="s">
        <v>17</v>
      </c>
      <c r="F494" s="21" t="str">
        <f>VLOOKUP($E494,'Приложение 4'!$B$3:$C$19,2,FALSE)</f>
        <v>т</v>
      </c>
      <c r="G494" s="13"/>
      <c r="H494" s="13"/>
      <c r="I494" s="22">
        <v>0</v>
      </c>
      <c r="J494" s="22">
        <f>G494*I494</f>
        <v>0</v>
      </c>
    </row>
    <row r="495" spans="1:10" x14ac:dyDescent="0.15">
      <c r="D495" s="13" t="s">
        <v>89</v>
      </c>
      <c r="E495" s="13" t="s">
        <v>19</v>
      </c>
    </row>
    <row r="496" spans="1:10" ht="18.75" customHeight="1" x14ac:dyDescent="0.15">
      <c r="A496" s="14" t="s">
        <v>968</v>
      </c>
      <c r="B496" s="15" t="s">
        <v>969</v>
      </c>
      <c r="C496" s="15"/>
      <c r="D496" s="16"/>
      <c r="E496" s="16"/>
      <c r="F496" s="14" t="s">
        <v>10</v>
      </c>
      <c r="G496" s="14">
        <f>SUM(G498:G534)</f>
        <v>0</v>
      </c>
      <c r="H496" s="14"/>
      <c r="I496" s="18"/>
      <c r="J496" s="18">
        <f>SUM(J498:J534)</f>
        <v>0</v>
      </c>
    </row>
    <row r="497" spans="1:10" ht="18.75" x14ac:dyDescent="0.15">
      <c r="B497" s="15" t="s">
        <v>970</v>
      </c>
      <c r="F497" s="14" t="s">
        <v>14</v>
      </c>
    </row>
    <row r="498" spans="1:10" ht="27" x14ac:dyDescent="0.15">
      <c r="A498" s="19" t="s">
        <v>971</v>
      </c>
      <c r="B498" s="20"/>
      <c r="C498" s="20"/>
      <c r="D498" s="13" t="s">
        <v>87</v>
      </c>
      <c r="E498" s="13" t="s">
        <v>17</v>
      </c>
      <c r="F498" s="21" t="str">
        <f>VLOOKUP($E498,'Приложение 4'!$B$3:$C$19,2,FALSE)</f>
        <v>т</v>
      </c>
      <c r="G498" s="13"/>
      <c r="H498" s="13"/>
      <c r="I498" s="22">
        <v>0</v>
      </c>
      <c r="J498" s="22">
        <f>G498*I498</f>
        <v>0</v>
      </c>
    </row>
    <row r="499" spans="1:10" x14ac:dyDescent="0.15">
      <c r="D499" s="13" t="s">
        <v>89</v>
      </c>
      <c r="E499" s="13" t="s">
        <v>19</v>
      </c>
    </row>
    <row r="500" spans="1:10" ht="27" x14ac:dyDescent="0.15">
      <c r="A500" s="19" t="s">
        <v>972</v>
      </c>
      <c r="B500" s="20"/>
      <c r="C500" s="20"/>
      <c r="D500" s="13" t="s">
        <v>87</v>
      </c>
      <c r="E500" s="13" t="s">
        <v>17</v>
      </c>
      <c r="F500" s="21" t="str">
        <f>VLOOKUP($E500,'Приложение 4'!$B$3:$C$19,2,FALSE)</f>
        <v>т</v>
      </c>
      <c r="G500" s="13"/>
      <c r="H500" s="13"/>
      <c r="I500" s="22">
        <v>0</v>
      </c>
      <c r="J500" s="22">
        <f>G500*I500</f>
        <v>0</v>
      </c>
    </row>
    <row r="501" spans="1:10" x14ac:dyDescent="0.15">
      <c r="D501" s="13" t="s">
        <v>89</v>
      </c>
      <c r="E501" s="13" t="s">
        <v>19</v>
      </c>
    </row>
    <row r="502" spans="1:10" ht="27" x14ac:dyDescent="0.15">
      <c r="A502" s="19" t="s">
        <v>973</v>
      </c>
      <c r="B502" s="20"/>
      <c r="C502" s="20"/>
      <c r="D502" s="13" t="s">
        <v>87</v>
      </c>
      <c r="E502" s="13" t="s">
        <v>17</v>
      </c>
      <c r="F502" s="21" t="str">
        <f>VLOOKUP($E502,'Приложение 4'!$B$3:$C$19,2,FALSE)</f>
        <v>т</v>
      </c>
      <c r="G502" s="13"/>
      <c r="H502" s="13"/>
      <c r="I502" s="22">
        <v>0</v>
      </c>
      <c r="J502" s="22">
        <f>G502*I502</f>
        <v>0</v>
      </c>
    </row>
    <row r="503" spans="1:10" x14ac:dyDescent="0.15">
      <c r="D503" s="13" t="s">
        <v>89</v>
      </c>
      <c r="E503" s="13" t="s">
        <v>19</v>
      </c>
    </row>
    <row r="504" spans="1:10" ht="27" x14ac:dyDescent="0.15">
      <c r="A504" s="19" t="s">
        <v>974</v>
      </c>
      <c r="B504" s="20"/>
      <c r="C504" s="20"/>
      <c r="D504" s="13" t="s">
        <v>87</v>
      </c>
      <c r="E504" s="13" t="s">
        <v>17</v>
      </c>
      <c r="F504" s="21" t="str">
        <f>VLOOKUP($E504,'Приложение 4'!$B$3:$C$19,2,FALSE)</f>
        <v>т</v>
      </c>
      <c r="G504" s="13"/>
      <c r="H504" s="13"/>
      <c r="I504" s="22">
        <v>0</v>
      </c>
      <c r="J504" s="22">
        <f>G504*I504</f>
        <v>0</v>
      </c>
    </row>
    <row r="505" spans="1:10" x14ac:dyDescent="0.15">
      <c r="D505" s="13" t="s">
        <v>89</v>
      </c>
      <c r="E505" s="13" t="s">
        <v>19</v>
      </c>
    </row>
    <row r="506" spans="1:10" ht="27" x14ac:dyDescent="0.15">
      <c r="A506" s="19" t="s">
        <v>975</v>
      </c>
      <c r="B506" s="20"/>
      <c r="C506" s="20"/>
      <c r="D506" s="13" t="s">
        <v>87</v>
      </c>
      <c r="E506" s="13" t="s">
        <v>17</v>
      </c>
      <c r="F506" s="21" t="str">
        <f>VLOOKUP($E506,'Приложение 4'!$B$3:$C$19,2,FALSE)</f>
        <v>т</v>
      </c>
      <c r="G506" s="13"/>
      <c r="H506" s="13"/>
      <c r="I506" s="22">
        <v>0</v>
      </c>
      <c r="J506" s="22">
        <f>G506*I506</f>
        <v>0</v>
      </c>
    </row>
    <row r="507" spans="1:10" x14ac:dyDescent="0.15">
      <c r="D507" s="13" t="s">
        <v>89</v>
      </c>
      <c r="E507" s="13" t="s">
        <v>19</v>
      </c>
    </row>
    <row r="508" spans="1:10" ht="27" x14ac:dyDescent="0.15">
      <c r="A508" s="19" t="s">
        <v>976</v>
      </c>
      <c r="B508" s="20"/>
      <c r="C508" s="20"/>
      <c r="D508" s="13" t="s">
        <v>87</v>
      </c>
      <c r="E508" s="13" t="s">
        <v>17</v>
      </c>
      <c r="F508" s="21" t="str">
        <f>VLOOKUP($E508,'Приложение 4'!$B$3:$C$19,2,FALSE)</f>
        <v>т</v>
      </c>
      <c r="G508" s="13"/>
      <c r="H508" s="13"/>
      <c r="I508" s="22">
        <v>0</v>
      </c>
      <c r="J508" s="22">
        <f>G508*I508</f>
        <v>0</v>
      </c>
    </row>
    <row r="509" spans="1:10" x14ac:dyDescent="0.15">
      <c r="D509" s="13" t="s">
        <v>89</v>
      </c>
      <c r="E509" s="13" t="s">
        <v>19</v>
      </c>
    </row>
    <row r="510" spans="1:10" ht="27" x14ac:dyDescent="0.15">
      <c r="A510" s="19" t="s">
        <v>977</v>
      </c>
      <c r="B510" s="20"/>
      <c r="C510" s="20"/>
      <c r="D510" s="13" t="s">
        <v>87</v>
      </c>
      <c r="E510" s="13" t="s">
        <v>17</v>
      </c>
      <c r="F510" s="21" t="str">
        <f>VLOOKUP($E510,'Приложение 4'!$B$3:$C$19,2,FALSE)</f>
        <v>т</v>
      </c>
      <c r="G510" s="13"/>
      <c r="H510" s="13"/>
      <c r="I510" s="22">
        <v>0</v>
      </c>
      <c r="J510" s="22">
        <f>G510*I510</f>
        <v>0</v>
      </c>
    </row>
    <row r="511" spans="1:10" x14ac:dyDescent="0.15">
      <c r="D511" s="13" t="s">
        <v>89</v>
      </c>
      <c r="E511" s="13" t="s">
        <v>19</v>
      </c>
    </row>
    <row r="512" spans="1:10" ht="27" x14ac:dyDescent="0.15">
      <c r="A512" s="19" t="s">
        <v>978</v>
      </c>
      <c r="B512" s="20"/>
      <c r="C512" s="20"/>
      <c r="D512" s="13" t="s">
        <v>87</v>
      </c>
      <c r="E512" s="13" t="s">
        <v>17</v>
      </c>
      <c r="F512" s="21" t="str">
        <f>VLOOKUP($E512,'Приложение 4'!$B$3:$C$19,2,FALSE)</f>
        <v>т</v>
      </c>
      <c r="G512" s="13"/>
      <c r="H512" s="13"/>
      <c r="I512" s="22">
        <v>0</v>
      </c>
      <c r="J512" s="22">
        <f>G512*I512</f>
        <v>0</v>
      </c>
    </row>
    <row r="513" spans="1:10" x14ac:dyDescent="0.15">
      <c r="D513" s="13" t="s">
        <v>89</v>
      </c>
      <c r="E513" s="13" t="s">
        <v>19</v>
      </c>
    </row>
    <row r="514" spans="1:10" ht="27" x14ac:dyDescent="0.15">
      <c r="A514" s="19" t="s">
        <v>979</v>
      </c>
      <c r="B514" s="20"/>
      <c r="C514" s="20"/>
      <c r="D514" s="13" t="s">
        <v>87</v>
      </c>
      <c r="E514" s="13" t="s">
        <v>17</v>
      </c>
      <c r="F514" s="21" t="str">
        <f>VLOOKUP($E514,'Приложение 4'!$B$3:$C$19,2,FALSE)</f>
        <v>т</v>
      </c>
      <c r="G514" s="13"/>
      <c r="H514" s="13"/>
      <c r="I514" s="22">
        <v>0</v>
      </c>
      <c r="J514" s="22">
        <f>G514*I514</f>
        <v>0</v>
      </c>
    </row>
    <row r="515" spans="1:10" x14ac:dyDescent="0.15">
      <c r="D515" s="13" t="s">
        <v>89</v>
      </c>
      <c r="E515" s="13" t="s">
        <v>19</v>
      </c>
    </row>
    <row r="516" spans="1:10" ht="27" x14ac:dyDescent="0.15">
      <c r="A516" s="19" t="s">
        <v>980</v>
      </c>
      <c r="B516" s="20"/>
      <c r="C516" s="20"/>
      <c r="D516" s="13" t="s">
        <v>87</v>
      </c>
      <c r="E516" s="13" t="s">
        <v>17</v>
      </c>
      <c r="F516" s="21" t="str">
        <f>VLOOKUP($E516,'Приложение 4'!$B$3:$C$19,2,FALSE)</f>
        <v>т</v>
      </c>
      <c r="G516" s="13"/>
      <c r="H516" s="13"/>
      <c r="I516" s="22">
        <v>0</v>
      </c>
      <c r="J516" s="22">
        <f>G516*I516</f>
        <v>0</v>
      </c>
    </row>
    <row r="517" spans="1:10" x14ac:dyDescent="0.15">
      <c r="D517" s="13" t="s">
        <v>89</v>
      </c>
      <c r="E517" s="13" t="s">
        <v>19</v>
      </c>
    </row>
    <row r="518" spans="1:10" ht="27" x14ac:dyDescent="0.15">
      <c r="A518" s="19" t="s">
        <v>981</v>
      </c>
      <c r="B518" s="20"/>
      <c r="C518" s="20"/>
      <c r="D518" s="13" t="s">
        <v>87</v>
      </c>
      <c r="E518" s="13" t="s">
        <v>17</v>
      </c>
      <c r="F518" s="21" t="str">
        <f>VLOOKUP($E518,'Приложение 4'!$B$3:$C$19,2,FALSE)</f>
        <v>т</v>
      </c>
      <c r="G518" s="13"/>
      <c r="H518" s="13"/>
      <c r="I518" s="22">
        <v>0</v>
      </c>
      <c r="J518" s="22">
        <f>G518*I518</f>
        <v>0</v>
      </c>
    </row>
    <row r="519" spans="1:10" x14ac:dyDescent="0.15">
      <c r="D519" s="13" t="s">
        <v>89</v>
      </c>
      <c r="E519" s="13" t="s">
        <v>19</v>
      </c>
    </row>
    <row r="520" spans="1:10" ht="27" x14ac:dyDescent="0.15">
      <c r="A520" s="19" t="s">
        <v>982</v>
      </c>
      <c r="B520" s="20"/>
      <c r="C520" s="20"/>
      <c r="D520" s="13" t="s">
        <v>87</v>
      </c>
      <c r="E520" s="13" t="s">
        <v>17</v>
      </c>
      <c r="F520" s="21" t="str">
        <f>VLOOKUP($E520,'Приложение 4'!$B$3:$C$19,2,FALSE)</f>
        <v>т</v>
      </c>
      <c r="G520" s="13"/>
      <c r="H520" s="13"/>
      <c r="I520" s="22">
        <v>0</v>
      </c>
      <c r="J520" s="22">
        <f>G520*I520</f>
        <v>0</v>
      </c>
    </row>
    <row r="521" spans="1:10" x14ac:dyDescent="0.15">
      <c r="D521" s="13" t="s">
        <v>89</v>
      </c>
      <c r="E521" s="13" t="s">
        <v>19</v>
      </c>
    </row>
    <row r="522" spans="1:10" ht="27" x14ac:dyDescent="0.15">
      <c r="A522" s="19" t="s">
        <v>983</v>
      </c>
      <c r="B522" s="20"/>
      <c r="C522" s="20"/>
      <c r="D522" s="13" t="s">
        <v>87</v>
      </c>
      <c r="E522" s="13" t="s">
        <v>17</v>
      </c>
      <c r="F522" s="21" t="str">
        <f>VLOOKUP($E522,'Приложение 4'!$B$3:$C$19,2,FALSE)</f>
        <v>т</v>
      </c>
      <c r="G522" s="13"/>
      <c r="H522" s="13"/>
      <c r="I522" s="22">
        <v>0</v>
      </c>
      <c r="J522" s="22">
        <f>G522*I522</f>
        <v>0</v>
      </c>
    </row>
    <row r="523" spans="1:10" x14ac:dyDescent="0.15">
      <c r="D523" s="13" t="s">
        <v>89</v>
      </c>
      <c r="E523" s="13" t="s">
        <v>19</v>
      </c>
    </row>
    <row r="524" spans="1:10" ht="27" x14ac:dyDescent="0.15">
      <c r="A524" s="19" t="s">
        <v>984</v>
      </c>
      <c r="B524" s="20"/>
      <c r="C524" s="20"/>
      <c r="D524" s="13" t="s">
        <v>87</v>
      </c>
      <c r="E524" s="13" t="s">
        <v>17</v>
      </c>
      <c r="F524" s="21" t="str">
        <f>VLOOKUP($E524,'Приложение 4'!$B$3:$C$19,2,FALSE)</f>
        <v>т</v>
      </c>
      <c r="G524" s="13"/>
      <c r="H524" s="13"/>
      <c r="I524" s="22">
        <v>0</v>
      </c>
      <c r="J524" s="22">
        <f>G524*I524</f>
        <v>0</v>
      </c>
    </row>
    <row r="525" spans="1:10" x14ac:dyDescent="0.15">
      <c r="D525" s="13" t="s">
        <v>89</v>
      </c>
      <c r="E525" s="13" t="s">
        <v>19</v>
      </c>
    </row>
    <row r="526" spans="1:10" ht="27" x14ac:dyDescent="0.15">
      <c r="A526" s="19" t="s">
        <v>985</v>
      </c>
      <c r="B526" s="20"/>
      <c r="C526" s="20"/>
      <c r="D526" s="13" t="s">
        <v>87</v>
      </c>
      <c r="E526" s="13" t="s">
        <v>17</v>
      </c>
      <c r="F526" s="21" t="str">
        <f>VLOOKUP($E526,'Приложение 4'!$B$3:$C$19,2,FALSE)</f>
        <v>т</v>
      </c>
      <c r="G526" s="13"/>
      <c r="H526" s="13"/>
      <c r="I526" s="22">
        <v>0</v>
      </c>
      <c r="J526" s="22">
        <f>G526*I526</f>
        <v>0</v>
      </c>
    </row>
    <row r="527" spans="1:10" x14ac:dyDescent="0.15">
      <c r="D527" s="13" t="s">
        <v>89</v>
      </c>
      <c r="E527" s="13" t="s">
        <v>19</v>
      </c>
    </row>
    <row r="528" spans="1:10" ht="27" x14ac:dyDescent="0.15">
      <c r="A528" s="19" t="s">
        <v>986</v>
      </c>
      <c r="B528" s="20"/>
      <c r="C528" s="20"/>
      <c r="D528" s="13" t="s">
        <v>87</v>
      </c>
      <c r="E528" s="13" t="s">
        <v>17</v>
      </c>
      <c r="F528" s="21" t="str">
        <f>VLOOKUP($E528,'Приложение 4'!$B$3:$C$19,2,FALSE)</f>
        <v>т</v>
      </c>
      <c r="G528" s="13"/>
      <c r="H528" s="13"/>
      <c r="I528" s="22">
        <v>0</v>
      </c>
      <c r="J528" s="22">
        <f>G528*I528</f>
        <v>0</v>
      </c>
    </row>
    <row r="529" spans="1:10" x14ac:dyDescent="0.15">
      <c r="D529" s="13" t="s">
        <v>89</v>
      </c>
      <c r="E529" s="13" t="s">
        <v>19</v>
      </c>
    </row>
    <row r="530" spans="1:10" ht="27" x14ac:dyDescent="0.15">
      <c r="A530" s="19" t="s">
        <v>987</v>
      </c>
      <c r="B530" s="20"/>
      <c r="C530" s="20"/>
      <c r="D530" s="13" t="s">
        <v>87</v>
      </c>
      <c r="E530" s="13" t="s">
        <v>17</v>
      </c>
      <c r="F530" s="21" t="str">
        <f>VLOOKUP($E530,'Приложение 4'!$B$3:$C$19,2,FALSE)</f>
        <v>т</v>
      </c>
      <c r="G530" s="13"/>
      <c r="H530" s="13"/>
      <c r="I530" s="22">
        <v>0</v>
      </c>
      <c r="J530" s="22">
        <f>G530*I530</f>
        <v>0</v>
      </c>
    </row>
    <row r="531" spans="1:10" x14ac:dyDescent="0.15">
      <c r="D531" s="13" t="s">
        <v>89</v>
      </c>
      <c r="E531" s="13" t="s">
        <v>19</v>
      </c>
    </row>
    <row r="532" spans="1:10" ht="27" x14ac:dyDescent="0.15">
      <c r="A532" s="19" t="s">
        <v>988</v>
      </c>
      <c r="B532" s="20"/>
      <c r="C532" s="20"/>
      <c r="D532" s="13" t="s">
        <v>87</v>
      </c>
      <c r="E532" s="13" t="s">
        <v>17</v>
      </c>
      <c r="F532" s="21" t="str">
        <f>VLOOKUP($E532,'Приложение 4'!$B$3:$C$19,2,FALSE)</f>
        <v>т</v>
      </c>
      <c r="G532" s="13"/>
      <c r="H532" s="13"/>
      <c r="I532" s="22">
        <v>0</v>
      </c>
      <c r="J532" s="22">
        <f>G532*I532</f>
        <v>0</v>
      </c>
    </row>
    <row r="533" spans="1:10" x14ac:dyDescent="0.15">
      <c r="D533" s="13" t="s">
        <v>89</v>
      </c>
      <c r="E533" s="13" t="s">
        <v>19</v>
      </c>
    </row>
    <row r="534" spans="1:10" ht="27" x14ac:dyDescent="0.15">
      <c r="A534" s="19" t="s">
        <v>989</v>
      </c>
      <c r="B534" s="20"/>
      <c r="C534" s="20"/>
      <c r="D534" s="13" t="s">
        <v>87</v>
      </c>
      <c r="E534" s="13" t="s">
        <v>17</v>
      </c>
      <c r="F534" s="21" t="str">
        <f>VLOOKUP($E534,'Приложение 4'!$B$3:$C$19,2,FALSE)</f>
        <v>т</v>
      </c>
      <c r="G534" s="13"/>
      <c r="H534" s="13"/>
      <c r="I534" s="22">
        <v>0</v>
      </c>
      <c r="J534" s="22">
        <f>G534*I534</f>
        <v>0</v>
      </c>
    </row>
    <row r="535" spans="1:10" x14ac:dyDescent="0.15">
      <c r="D535" s="13" t="s">
        <v>89</v>
      </c>
      <c r="E535" s="13" t="s">
        <v>19</v>
      </c>
    </row>
    <row r="536" spans="1:10" ht="18.75" customHeight="1" x14ac:dyDescent="0.15">
      <c r="A536" s="14" t="s">
        <v>990</v>
      </c>
      <c r="B536" s="15" t="s">
        <v>991</v>
      </c>
      <c r="C536" s="15"/>
      <c r="D536" s="16"/>
      <c r="E536" s="16"/>
      <c r="F536" s="14" t="s">
        <v>26</v>
      </c>
      <c r="G536" s="14">
        <f>SUM(G538:G574)</f>
        <v>7173.6</v>
      </c>
      <c r="H536" s="14"/>
      <c r="I536" s="18"/>
      <c r="J536" s="18">
        <f>SUM(J538:J574)</f>
        <v>0</v>
      </c>
    </row>
    <row r="537" spans="1:10" ht="18.75" x14ac:dyDescent="0.15">
      <c r="B537" s="15" t="s">
        <v>992</v>
      </c>
      <c r="F537" s="14" t="s">
        <v>30</v>
      </c>
    </row>
    <row r="538" spans="1:10" ht="47.25" customHeight="1" x14ac:dyDescent="0.15">
      <c r="A538" s="19" t="s">
        <v>993</v>
      </c>
      <c r="B538" s="20" t="s">
        <v>994</v>
      </c>
      <c r="C538" s="20" t="s">
        <v>995</v>
      </c>
      <c r="D538" s="13" t="s">
        <v>87</v>
      </c>
      <c r="E538" s="13" t="s">
        <v>25</v>
      </c>
      <c r="F538" s="21" t="str">
        <f>VLOOKUP($E538,'Приложение 4'!$B$3:$C$19,2,FALSE)</f>
        <v>м²</v>
      </c>
      <c r="G538" s="13">
        <v>550</v>
      </c>
      <c r="H538" s="13" t="s">
        <v>996</v>
      </c>
      <c r="I538" s="22">
        <v>0</v>
      </c>
      <c r="J538" s="22">
        <f>G538*I538</f>
        <v>0</v>
      </c>
    </row>
    <row r="539" spans="1:10" ht="27" x14ac:dyDescent="0.15">
      <c r="C539" s="20" t="s">
        <v>997</v>
      </c>
      <c r="D539" s="13" t="s">
        <v>89</v>
      </c>
      <c r="E539" s="13" t="s">
        <v>29</v>
      </c>
    </row>
    <row r="540" spans="1:10" ht="60" customHeight="1" x14ac:dyDescent="0.15">
      <c r="A540" s="19" t="s">
        <v>998</v>
      </c>
      <c r="B540" s="20" t="s">
        <v>994</v>
      </c>
      <c r="C540" s="20" t="s">
        <v>999</v>
      </c>
      <c r="D540" s="13" t="s">
        <v>87</v>
      </c>
      <c r="E540" s="13" t="s">
        <v>25</v>
      </c>
      <c r="F540" s="21" t="str">
        <f>VLOOKUP($E540,'Приложение 4'!$B$3:$C$19,2,FALSE)</f>
        <v>м²</v>
      </c>
      <c r="G540" s="13">
        <v>550</v>
      </c>
      <c r="H540" s="13" t="s">
        <v>996</v>
      </c>
      <c r="I540" s="22">
        <v>0</v>
      </c>
      <c r="J540" s="22">
        <f>G540*I540</f>
        <v>0</v>
      </c>
    </row>
    <row r="541" spans="1:10" ht="27" x14ac:dyDescent="0.15">
      <c r="C541" s="20" t="s">
        <v>1000</v>
      </c>
      <c r="D541" s="13" t="s">
        <v>89</v>
      </c>
      <c r="E541" s="13" t="s">
        <v>29</v>
      </c>
    </row>
    <row r="542" spans="1:10" ht="45" customHeight="1" x14ac:dyDescent="0.15">
      <c r="A542" s="19" t="s">
        <v>1001</v>
      </c>
      <c r="B542" s="20" t="s">
        <v>903</v>
      </c>
      <c r="C542" s="20" t="s">
        <v>1002</v>
      </c>
      <c r="D542" s="13" t="s">
        <v>87</v>
      </c>
      <c r="E542" s="13" t="s">
        <v>25</v>
      </c>
      <c r="F542" s="21" t="str">
        <f>VLOOKUP($E542,'Приложение 4'!$B$3:$C$19,2,FALSE)</f>
        <v>м²</v>
      </c>
      <c r="G542" s="13">
        <v>183.4</v>
      </c>
      <c r="H542" s="13" t="s">
        <v>1003</v>
      </c>
      <c r="I542" s="22">
        <v>0</v>
      </c>
      <c r="J542" s="22">
        <f>G542*I542</f>
        <v>0</v>
      </c>
    </row>
    <row r="543" spans="1:10" ht="27" x14ac:dyDescent="0.15">
      <c r="C543" s="20" t="s">
        <v>1004</v>
      </c>
      <c r="D543" s="13" t="s">
        <v>89</v>
      </c>
      <c r="E543" s="13" t="s">
        <v>29</v>
      </c>
      <c r="H543" s="13" t="s">
        <v>1005</v>
      </c>
    </row>
    <row r="544" spans="1:10" ht="60" customHeight="1" x14ac:dyDescent="0.15">
      <c r="A544" s="19" t="s">
        <v>1006</v>
      </c>
      <c r="B544" s="20" t="s">
        <v>903</v>
      </c>
      <c r="C544" s="20" t="s">
        <v>1007</v>
      </c>
      <c r="D544" s="13" t="s">
        <v>87</v>
      </c>
      <c r="E544" s="13" t="s">
        <v>25</v>
      </c>
      <c r="F544" s="21" t="str">
        <f>VLOOKUP($E544,'Приложение 4'!$B$3:$C$19,2,FALSE)</f>
        <v>м²</v>
      </c>
      <c r="G544" s="13">
        <v>183.4</v>
      </c>
      <c r="H544" s="13" t="s">
        <v>1003</v>
      </c>
      <c r="I544" s="22">
        <v>0</v>
      </c>
      <c r="J544" s="22">
        <f>G544*I544</f>
        <v>0</v>
      </c>
    </row>
    <row r="545" spans="1:10" ht="27" x14ac:dyDescent="0.15">
      <c r="C545" s="20" t="s">
        <v>1008</v>
      </c>
      <c r="D545" s="13" t="s">
        <v>89</v>
      </c>
      <c r="E545" s="13" t="s">
        <v>29</v>
      </c>
      <c r="H545" s="13" t="s">
        <v>1005</v>
      </c>
    </row>
    <row r="546" spans="1:10" ht="45" customHeight="1" x14ac:dyDescent="0.15">
      <c r="A546" s="19" t="s">
        <v>1009</v>
      </c>
      <c r="B546" s="20" t="s">
        <v>907</v>
      </c>
      <c r="C546" s="20" t="s">
        <v>1010</v>
      </c>
      <c r="D546" s="13" t="s">
        <v>87</v>
      </c>
      <c r="E546" s="13" t="s">
        <v>25</v>
      </c>
      <c r="F546" s="21" t="str">
        <f>VLOOKUP($E546,'Приложение 4'!$B$3:$C$19,2,FALSE)</f>
        <v>м²</v>
      </c>
      <c r="G546" s="13">
        <v>183.4</v>
      </c>
      <c r="H546" s="13" t="s">
        <v>1003</v>
      </c>
      <c r="I546" s="22">
        <v>0</v>
      </c>
      <c r="J546" s="22">
        <f>G546*I546</f>
        <v>0</v>
      </c>
    </row>
    <row r="547" spans="1:10" ht="27" x14ac:dyDescent="0.15">
      <c r="C547" s="20" t="s">
        <v>1011</v>
      </c>
      <c r="D547" s="13" t="s">
        <v>89</v>
      </c>
      <c r="E547" s="13" t="s">
        <v>29</v>
      </c>
      <c r="H547" s="13" t="s">
        <v>1005</v>
      </c>
    </row>
    <row r="548" spans="1:10" ht="60" customHeight="1" x14ac:dyDescent="0.15">
      <c r="A548" s="19" t="s">
        <v>1012</v>
      </c>
      <c r="B548" s="20" t="s">
        <v>907</v>
      </c>
      <c r="C548" s="20" t="s">
        <v>1013</v>
      </c>
      <c r="D548" s="13" t="s">
        <v>87</v>
      </c>
      <c r="E548" s="13" t="s">
        <v>25</v>
      </c>
      <c r="F548" s="21" t="str">
        <f>VLOOKUP($E548,'Приложение 4'!$B$3:$C$19,2,FALSE)</f>
        <v>м²</v>
      </c>
      <c r="G548" s="13">
        <v>183.4</v>
      </c>
      <c r="H548" s="13" t="s">
        <v>1003</v>
      </c>
      <c r="I548" s="22">
        <v>0</v>
      </c>
      <c r="J548" s="22">
        <f>G548*I548</f>
        <v>0</v>
      </c>
    </row>
    <row r="549" spans="1:10" ht="27" x14ac:dyDescent="0.15">
      <c r="C549" s="20" t="s">
        <v>1014</v>
      </c>
      <c r="D549" s="13" t="s">
        <v>89</v>
      </c>
      <c r="E549" s="13" t="s">
        <v>29</v>
      </c>
      <c r="H549" s="13" t="s">
        <v>1005</v>
      </c>
    </row>
    <row r="550" spans="1:10" ht="49.5" customHeight="1" x14ac:dyDescent="0.15">
      <c r="A550" s="19" t="s">
        <v>1015</v>
      </c>
      <c r="B550" s="20" t="s">
        <v>1016</v>
      </c>
      <c r="C550" s="20" t="s">
        <v>1017</v>
      </c>
      <c r="D550" s="13" t="s">
        <v>87</v>
      </c>
      <c r="E550" s="13" t="s">
        <v>25</v>
      </c>
      <c r="F550" s="21" t="str">
        <f>VLOOKUP($E550,'Приложение 4'!$B$3:$C$19,2,FALSE)</f>
        <v>м²</v>
      </c>
      <c r="G550" s="13">
        <v>1425</v>
      </c>
      <c r="H550" s="13" t="s">
        <v>935</v>
      </c>
      <c r="I550" s="22">
        <v>0</v>
      </c>
      <c r="J550" s="22">
        <f>G550*I550</f>
        <v>0</v>
      </c>
    </row>
    <row r="551" spans="1:10" x14ac:dyDescent="0.15">
      <c r="C551" s="20" t="s">
        <v>1018</v>
      </c>
      <c r="D551" s="13" t="s">
        <v>89</v>
      </c>
      <c r="E551" s="13" t="s">
        <v>29</v>
      </c>
      <c r="H551" s="13" t="s">
        <v>937</v>
      </c>
    </row>
    <row r="552" spans="1:10" ht="47.25" customHeight="1" x14ac:dyDescent="0.15">
      <c r="A552" s="19" t="s">
        <v>1019</v>
      </c>
      <c r="B552" s="20" t="s">
        <v>1016</v>
      </c>
      <c r="C552" s="20" t="s">
        <v>1020</v>
      </c>
      <c r="D552" s="13" t="s">
        <v>87</v>
      </c>
      <c r="E552" s="13" t="s">
        <v>25</v>
      </c>
      <c r="F552" s="21" t="str">
        <f>VLOOKUP($E552,'Приложение 4'!$B$3:$C$19,2,FALSE)</f>
        <v>м²</v>
      </c>
      <c r="G552" s="13">
        <v>1425</v>
      </c>
      <c r="H552" s="13" t="s">
        <v>935</v>
      </c>
      <c r="I552" s="22">
        <v>0</v>
      </c>
      <c r="J552" s="22">
        <f>G552*I552</f>
        <v>0</v>
      </c>
    </row>
    <row r="553" spans="1:10" x14ac:dyDescent="0.15">
      <c r="C553" s="20" t="s">
        <v>1021</v>
      </c>
      <c r="D553" s="13" t="s">
        <v>89</v>
      </c>
      <c r="E553" s="13" t="s">
        <v>29</v>
      </c>
      <c r="H553" s="13" t="s">
        <v>937</v>
      </c>
    </row>
    <row r="554" spans="1:10" ht="30" customHeight="1" x14ac:dyDescent="0.15">
      <c r="A554" s="19" t="s">
        <v>1022</v>
      </c>
      <c r="B554" s="20" t="s">
        <v>142</v>
      </c>
      <c r="C554" s="20" t="s">
        <v>1023</v>
      </c>
      <c r="D554" s="13" t="s">
        <v>87</v>
      </c>
      <c r="E554" s="13" t="s">
        <v>25</v>
      </c>
      <c r="F554" s="21" t="str">
        <f>VLOOKUP($E554,'Приложение 4'!$B$3:$C$19,2,FALSE)</f>
        <v>м²</v>
      </c>
      <c r="G554" s="13">
        <v>85</v>
      </c>
      <c r="H554" s="13" t="s">
        <v>1024</v>
      </c>
      <c r="I554" s="22">
        <v>0</v>
      </c>
      <c r="J554" s="22">
        <f>G554*I554</f>
        <v>0</v>
      </c>
    </row>
    <row r="555" spans="1:10" x14ac:dyDescent="0.15">
      <c r="C555" s="20" t="s">
        <v>1025</v>
      </c>
      <c r="D555" s="13" t="s">
        <v>89</v>
      </c>
      <c r="E555" s="13" t="s">
        <v>29</v>
      </c>
    </row>
    <row r="556" spans="1:10" ht="45" customHeight="1" x14ac:dyDescent="0.15">
      <c r="A556" s="19" t="s">
        <v>1026</v>
      </c>
      <c r="B556" s="20" t="s">
        <v>142</v>
      </c>
      <c r="C556" s="20" t="s">
        <v>1027</v>
      </c>
      <c r="D556" s="13" t="s">
        <v>87</v>
      </c>
      <c r="E556" s="13" t="s">
        <v>25</v>
      </c>
      <c r="F556" s="21" t="str">
        <f>VLOOKUP($E556,'Приложение 4'!$B$3:$C$19,2,FALSE)</f>
        <v>м²</v>
      </c>
      <c r="G556" s="13">
        <v>85</v>
      </c>
      <c r="H556" s="13" t="s">
        <v>1024</v>
      </c>
      <c r="I556" s="22">
        <v>0</v>
      </c>
      <c r="J556" s="22">
        <f>G556*I556</f>
        <v>0</v>
      </c>
    </row>
    <row r="557" spans="1:10" x14ac:dyDescent="0.15">
      <c r="C557" s="20" t="s">
        <v>1028</v>
      </c>
      <c r="D557" s="13" t="s">
        <v>89</v>
      </c>
      <c r="E557" s="13" t="s">
        <v>29</v>
      </c>
    </row>
    <row r="558" spans="1:10" ht="30" customHeight="1" x14ac:dyDescent="0.15">
      <c r="A558" s="19" t="s">
        <v>1029</v>
      </c>
      <c r="B558" s="20" t="s">
        <v>166</v>
      </c>
      <c r="C558" s="20" t="s">
        <v>1030</v>
      </c>
      <c r="D558" s="13" t="s">
        <v>87</v>
      </c>
      <c r="E558" s="13" t="s">
        <v>25</v>
      </c>
      <c r="F558" s="21" t="str">
        <f>VLOOKUP($E558,'Приложение 4'!$B$3:$C$19,2,FALSE)</f>
        <v>м²</v>
      </c>
      <c r="G558" s="13">
        <v>85</v>
      </c>
      <c r="H558" s="13" t="s">
        <v>1024</v>
      </c>
      <c r="I558" s="22">
        <v>0</v>
      </c>
      <c r="J558" s="22">
        <f>G558*I558</f>
        <v>0</v>
      </c>
    </row>
    <row r="559" spans="1:10" x14ac:dyDescent="0.15">
      <c r="C559" s="20" t="s">
        <v>1031</v>
      </c>
      <c r="D559" s="13" t="s">
        <v>89</v>
      </c>
      <c r="E559" s="13" t="s">
        <v>29</v>
      </c>
    </row>
    <row r="560" spans="1:10" ht="45" customHeight="1" x14ac:dyDescent="0.15">
      <c r="A560" s="19" t="s">
        <v>1032</v>
      </c>
      <c r="B560" s="20" t="s">
        <v>166</v>
      </c>
      <c r="C560" s="20" t="s">
        <v>1033</v>
      </c>
      <c r="D560" s="13" t="s">
        <v>87</v>
      </c>
      <c r="E560" s="13" t="s">
        <v>25</v>
      </c>
      <c r="F560" s="21" t="str">
        <f>VLOOKUP($E560,'Приложение 4'!$B$3:$C$19,2,FALSE)</f>
        <v>м²</v>
      </c>
      <c r="G560" s="13">
        <v>85</v>
      </c>
      <c r="H560" s="13" t="s">
        <v>1024</v>
      </c>
      <c r="I560" s="22">
        <v>0</v>
      </c>
      <c r="J560" s="22">
        <f>G560*I560</f>
        <v>0</v>
      </c>
    </row>
    <row r="561" spans="1:10" x14ac:dyDescent="0.15">
      <c r="C561" s="20" t="s">
        <v>1034</v>
      </c>
      <c r="D561" s="13" t="s">
        <v>89</v>
      </c>
      <c r="E561" s="13" t="s">
        <v>29</v>
      </c>
    </row>
    <row r="562" spans="1:10" ht="49.5" customHeight="1" x14ac:dyDescent="0.15">
      <c r="A562" s="19" t="s">
        <v>1035</v>
      </c>
      <c r="B562" s="20" t="s">
        <v>1036</v>
      </c>
      <c r="C562" s="20" t="s">
        <v>1037</v>
      </c>
      <c r="D562" s="13" t="s">
        <v>87</v>
      </c>
      <c r="E562" s="13" t="s">
        <v>25</v>
      </c>
      <c r="F562" s="21" t="str">
        <f>VLOOKUP($E562,'Приложение 4'!$B$3:$C$19,2,FALSE)</f>
        <v>м²</v>
      </c>
      <c r="G562" s="13">
        <v>1075</v>
      </c>
      <c r="H562" s="13" t="s">
        <v>935</v>
      </c>
      <c r="I562" s="22">
        <v>0</v>
      </c>
      <c r="J562" s="22">
        <f>G562*I562</f>
        <v>0</v>
      </c>
    </row>
    <row r="563" spans="1:10" x14ac:dyDescent="0.15">
      <c r="C563" s="20" t="s">
        <v>1038</v>
      </c>
      <c r="D563" s="13" t="s">
        <v>89</v>
      </c>
      <c r="E563" s="13" t="s">
        <v>29</v>
      </c>
      <c r="H563" s="13" t="s">
        <v>937</v>
      </c>
    </row>
    <row r="564" spans="1:10" ht="47.25" customHeight="1" x14ac:dyDescent="0.15">
      <c r="A564" s="19" t="s">
        <v>1039</v>
      </c>
      <c r="B564" s="20" t="s">
        <v>1036</v>
      </c>
      <c r="C564" s="20" t="s">
        <v>1040</v>
      </c>
      <c r="D564" s="13" t="s">
        <v>87</v>
      </c>
      <c r="E564" s="13" t="s">
        <v>25</v>
      </c>
      <c r="F564" s="21" t="str">
        <f>VLOOKUP($E564,'Приложение 4'!$B$3:$C$19,2,FALSE)</f>
        <v>м²</v>
      </c>
      <c r="G564" s="13">
        <v>1075</v>
      </c>
      <c r="H564" s="13" t="s">
        <v>935</v>
      </c>
      <c r="I564" s="22">
        <v>0</v>
      </c>
      <c r="J564" s="22">
        <f>G564*I564</f>
        <v>0</v>
      </c>
    </row>
    <row r="565" spans="1:10" x14ac:dyDescent="0.15">
      <c r="C565" s="20" t="s">
        <v>1041</v>
      </c>
      <c r="D565" s="13" t="s">
        <v>89</v>
      </c>
      <c r="E565" s="13" t="s">
        <v>29</v>
      </c>
      <c r="H565" s="13" t="s">
        <v>937</v>
      </c>
    </row>
    <row r="566" spans="1:10" ht="27" x14ac:dyDescent="0.15">
      <c r="A566" s="19" t="s">
        <v>1042</v>
      </c>
      <c r="B566" s="20"/>
      <c r="C566" s="20"/>
      <c r="D566" s="13"/>
      <c r="E566" s="13" t="s">
        <v>25</v>
      </c>
      <c r="F566" s="21" t="str">
        <f>VLOOKUP($E566,'Приложение 4'!$B$3:$C$19,2,FALSE)</f>
        <v>м²</v>
      </c>
      <c r="G566" s="13"/>
      <c r="H566" s="13"/>
      <c r="I566" s="22">
        <v>0</v>
      </c>
      <c r="J566" s="22">
        <f>G566*I566</f>
        <v>0</v>
      </c>
    </row>
    <row r="567" spans="1:10" x14ac:dyDescent="0.15">
      <c r="E567" s="13" t="s">
        <v>29</v>
      </c>
    </row>
    <row r="568" spans="1:10" ht="27" x14ac:dyDescent="0.15">
      <c r="A568" s="19" t="s">
        <v>1043</v>
      </c>
      <c r="B568" s="20"/>
      <c r="C568" s="20"/>
      <c r="D568" s="13"/>
      <c r="E568" s="13" t="s">
        <v>25</v>
      </c>
      <c r="F568" s="21" t="str">
        <f>VLOOKUP($E568,'Приложение 4'!$B$3:$C$19,2,FALSE)</f>
        <v>м²</v>
      </c>
      <c r="G568" s="13"/>
      <c r="H568" s="13"/>
      <c r="I568" s="22">
        <v>0</v>
      </c>
      <c r="J568" s="22">
        <f>G568*I568</f>
        <v>0</v>
      </c>
    </row>
    <row r="569" spans="1:10" x14ac:dyDescent="0.15">
      <c r="E569" s="13" t="s">
        <v>29</v>
      </c>
    </row>
    <row r="570" spans="1:10" ht="27" x14ac:dyDescent="0.15">
      <c r="A570" s="19" t="s">
        <v>1044</v>
      </c>
      <c r="B570" s="20"/>
      <c r="C570" s="20"/>
      <c r="D570" s="13"/>
      <c r="E570" s="13" t="s">
        <v>25</v>
      </c>
      <c r="F570" s="21" t="str">
        <f>VLOOKUP($E570,'Приложение 4'!$B$3:$C$19,2,FALSE)</f>
        <v>м²</v>
      </c>
      <c r="G570" s="13"/>
      <c r="H570" s="13"/>
      <c r="I570" s="22">
        <v>0</v>
      </c>
      <c r="J570" s="22">
        <f>G570*I570</f>
        <v>0</v>
      </c>
    </row>
    <row r="571" spans="1:10" x14ac:dyDescent="0.15">
      <c r="E571" s="13" t="s">
        <v>29</v>
      </c>
    </row>
    <row r="572" spans="1:10" ht="27" x14ac:dyDescent="0.15">
      <c r="A572" s="19" t="s">
        <v>1045</v>
      </c>
      <c r="B572" s="20"/>
      <c r="C572" s="20"/>
      <c r="D572" s="13"/>
      <c r="E572" s="13" t="s">
        <v>25</v>
      </c>
      <c r="F572" s="21" t="str">
        <f>VLOOKUP($E572,'Приложение 4'!$B$3:$C$19,2,FALSE)</f>
        <v>м²</v>
      </c>
      <c r="G572" s="13"/>
      <c r="H572" s="13"/>
      <c r="I572" s="22">
        <v>0</v>
      </c>
      <c r="J572" s="22">
        <f>G572*I572</f>
        <v>0</v>
      </c>
    </row>
    <row r="573" spans="1:10" x14ac:dyDescent="0.15">
      <c r="E573" s="13" t="s">
        <v>29</v>
      </c>
    </row>
    <row r="574" spans="1:10" ht="27" x14ac:dyDescent="0.15">
      <c r="A574" s="19" t="s">
        <v>1046</v>
      </c>
      <c r="B574" s="20"/>
      <c r="C574" s="20"/>
      <c r="D574" s="13"/>
      <c r="E574" s="13" t="s">
        <v>25</v>
      </c>
      <c r="F574" s="21" t="str">
        <f>VLOOKUP($E574,'Приложение 4'!$B$3:$C$19,2,FALSE)</f>
        <v>м²</v>
      </c>
      <c r="G574" s="13"/>
      <c r="H574" s="13"/>
      <c r="I574" s="22">
        <v>0</v>
      </c>
      <c r="J574" s="22">
        <f>G574*I574</f>
        <v>0</v>
      </c>
    </row>
    <row r="575" spans="1:10" x14ac:dyDescent="0.15">
      <c r="E575" s="13" t="s">
        <v>29</v>
      </c>
    </row>
    <row r="576" spans="1:10" ht="18.75" customHeight="1" x14ac:dyDescent="0.15">
      <c r="A576" s="14" t="s">
        <v>1047</v>
      </c>
      <c r="B576" s="15" t="s">
        <v>1048</v>
      </c>
      <c r="C576" s="15"/>
      <c r="D576" s="16"/>
      <c r="E576" s="16"/>
      <c r="F576" s="14" t="s">
        <v>26</v>
      </c>
      <c r="G576" s="14">
        <f>SUM(G578:G614)</f>
        <v>1902.5</v>
      </c>
      <c r="H576" s="14"/>
      <c r="I576" s="18"/>
      <c r="J576" s="18">
        <f>SUM(J578:J614)</f>
        <v>0</v>
      </c>
    </row>
    <row r="577" spans="1:10" ht="18.75" x14ac:dyDescent="0.15">
      <c r="B577" s="15" t="s">
        <v>1049</v>
      </c>
      <c r="F577" s="14" t="s">
        <v>30</v>
      </c>
    </row>
    <row r="578" spans="1:10" ht="32.25" customHeight="1" x14ac:dyDescent="0.15">
      <c r="A578" s="19" t="s">
        <v>1050</v>
      </c>
      <c r="B578" s="20"/>
      <c r="C578" s="20" t="s">
        <v>1051</v>
      </c>
      <c r="D578" s="13" t="s">
        <v>87</v>
      </c>
      <c r="E578" s="13" t="s">
        <v>52</v>
      </c>
      <c r="F578" s="21" t="str">
        <f>VLOOKUP($E578,'Приложение 4'!$B$3:$C$19,2,FALSE)</f>
        <v>м²</v>
      </c>
      <c r="G578" s="13">
        <v>667</v>
      </c>
      <c r="H578" s="13" t="s">
        <v>1052</v>
      </c>
      <c r="I578" s="22">
        <v>0</v>
      </c>
      <c r="J578" s="22">
        <f>G578*I578</f>
        <v>0</v>
      </c>
    </row>
    <row r="579" spans="1:10" x14ac:dyDescent="0.15">
      <c r="C579" s="20" t="s">
        <v>1053</v>
      </c>
      <c r="D579" s="13" t="s">
        <v>89</v>
      </c>
      <c r="E579" s="13" t="s">
        <v>54</v>
      </c>
      <c r="H579" s="13" t="s">
        <v>1054</v>
      </c>
    </row>
    <row r="580" spans="1:10" ht="30" customHeight="1" x14ac:dyDescent="0.15">
      <c r="A580" s="19" t="s">
        <v>1055</v>
      </c>
      <c r="B580" s="20"/>
      <c r="C580" s="20" t="s">
        <v>1056</v>
      </c>
      <c r="D580" s="13" t="s">
        <v>87</v>
      </c>
      <c r="E580" s="13" t="s">
        <v>52</v>
      </c>
      <c r="F580" s="21" t="str">
        <f>VLOOKUP($E580,'Приложение 4'!$B$3:$C$19,2,FALSE)</f>
        <v>м²</v>
      </c>
      <c r="G580" s="13">
        <v>176.4</v>
      </c>
      <c r="H580" s="13" t="s">
        <v>1052</v>
      </c>
      <c r="I580" s="22">
        <v>0</v>
      </c>
      <c r="J580" s="22">
        <f>G580*I580</f>
        <v>0</v>
      </c>
    </row>
    <row r="581" spans="1:10" x14ac:dyDescent="0.15">
      <c r="C581" s="20" t="s">
        <v>1057</v>
      </c>
      <c r="D581" s="13" t="s">
        <v>89</v>
      </c>
      <c r="E581" s="13" t="s">
        <v>54</v>
      </c>
      <c r="H581" s="13" t="s">
        <v>1054</v>
      </c>
    </row>
    <row r="582" spans="1:10" ht="30" customHeight="1" x14ac:dyDescent="0.15">
      <c r="A582" s="19" t="s">
        <v>1058</v>
      </c>
      <c r="B582" s="20"/>
      <c r="C582" s="20" t="s">
        <v>1059</v>
      </c>
      <c r="D582" s="13" t="s">
        <v>87</v>
      </c>
      <c r="E582" s="13" t="s">
        <v>52</v>
      </c>
      <c r="F582" s="21" t="str">
        <f>VLOOKUP($E582,'Приложение 4'!$B$3:$C$19,2,FALSE)</f>
        <v>м²</v>
      </c>
      <c r="G582" s="13">
        <v>454.5</v>
      </c>
      <c r="H582" s="13" t="s">
        <v>1060</v>
      </c>
      <c r="I582" s="22">
        <v>0</v>
      </c>
      <c r="J582" s="22">
        <f>G582*I582</f>
        <v>0</v>
      </c>
    </row>
    <row r="583" spans="1:10" x14ac:dyDescent="0.15">
      <c r="C583" s="20" t="s">
        <v>1061</v>
      </c>
      <c r="D583" s="13" t="s">
        <v>89</v>
      </c>
      <c r="E583" s="13" t="s">
        <v>54</v>
      </c>
      <c r="H583" s="13" t="s">
        <v>1062</v>
      </c>
    </row>
    <row r="584" spans="1:10" ht="30" customHeight="1" x14ac:dyDescent="0.15">
      <c r="A584" s="19" t="s">
        <v>1063</v>
      </c>
      <c r="B584" s="20"/>
      <c r="C584" s="20" t="s">
        <v>1064</v>
      </c>
      <c r="D584" s="13" t="s">
        <v>87</v>
      </c>
      <c r="E584" s="13" t="s">
        <v>52</v>
      </c>
      <c r="F584" s="21" t="str">
        <f>VLOOKUP($E584,'Приложение 4'!$B$3:$C$19,2,FALSE)</f>
        <v>м²</v>
      </c>
      <c r="G584" s="13">
        <v>87.6</v>
      </c>
      <c r="H584" s="13" t="s">
        <v>1060</v>
      </c>
      <c r="I584" s="22">
        <v>0</v>
      </c>
      <c r="J584" s="22">
        <f>G584*I584</f>
        <v>0</v>
      </c>
    </row>
    <row r="585" spans="1:10" x14ac:dyDescent="0.15">
      <c r="C585" s="20" t="s">
        <v>1065</v>
      </c>
      <c r="D585" s="13" t="s">
        <v>89</v>
      </c>
      <c r="E585" s="13" t="s">
        <v>54</v>
      </c>
      <c r="H585" s="13" t="s">
        <v>1062</v>
      </c>
    </row>
    <row r="586" spans="1:10" ht="30" customHeight="1" x14ac:dyDescent="0.15">
      <c r="A586" s="19" t="s">
        <v>1066</v>
      </c>
      <c r="B586" s="20"/>
      <c r="C586" s="20" t="s">
        <v>1067</v>
      </c>
      <c r="D586" s="13" t="s">
        <v>87</v>
      </c>
      <c r="E586" s="13" t="s">
        <v>52</v>
      </c>
      <c r="F586" s="21" t="str">
        <f>VLOOKUP($E586,'Приложение 4'!$B$3:$C$19,2,FALSE)</f>
        <v>м²</v>
      </c>
      <c r="G586" s="13">
        <v>7</v>
      </c>
      <c r="H586" s="13" t="s">
        <v>1068</v>
      </c>
      <c r="I586" s="22">
        <v>0</v>
      </c>
      <c r="J586" s="22">
        <f>G586*I586</f>
        <v>0</v>
      </c>
    </row>
    <row r="587" spans="1:10" x14ac:dyDescent="0.15">
      <c r="C587" s="20" t="s">
        <v>1069</v>
      </c>
      <c r="D587" s="13" t="s">
        <v>89</v>
      </c>
      <c r="E587" s="13" t="s">
        <v>54</v>
      </c>
      <c r="H587" s="13" t="s">
        <v>1070</v>
      </c>
    </row>
    <row r="588" spans="1:10" ht="30" customHeight="1" x14ac:dyDescent="0.15">
      <c r="A588" s="19" t="s">
        <v>1071</v>
      </c>
      <c r="B588" s="20"/>
      <c r="C588" s="20" t="s">
        <v>1072</v>
      </c>
      <c r="D588" s="13" t="s">
        <v>87</v>
      </c>
      <c r="E588" s="13" t="s">
        <v>52</v>
      </c>
      <c r="F588" s="21" t="str">
        <f>VLOOKUP($E588,'Приложение 4'!$B$3:$C$19,2,FALSE)</f>
        <v>м²</v>
      </c>
      <c r="G588" s="13">
        <v>350</v>
      </c>
      <c r="H588" s="13" t="s">
        <v>935</v>
      </c>
      <c r="I588" s="22">
        <v>0</v>
      </c>
      <c r="J588" s="22">
        <f>G588*I588</f>
        <v>0</v>
      </c>
    </row>
    <row r="589" spans="1:10" x14ac:dyDescent="0.15">
      <c r="C589" s="20" t="s">
        <v>1073</v>
      </c>
      <c r="D589" s="13" t="s">
        <v>89</v>
      </c>
      <c r="E589" s="13" t="s">
        <v>54</v>
      </c>
      <c r="H589" s="13" t="s">
        <v>937</v>
      </c>
    </row>
    <row r="590" spans="1:10" ht="30" customHeight="1" x14ac:dyDescent="0.15">
      <c r="A590" s="19" t="s">
        <v>1074</v>
      </c>
      <c r="B590" s="20"/>
      <c r="C590" s="20" t="s">
        <v>1075</v>
      </c>
      <c r="D590" s="13" t="s">
        <v>87</v>
      </c>
      <c r="E590" s="13" t="s">
        <v>52</v>
      </c>
      <c r="F590" s="21" t="str">
        <f>VLOOKUP($E590,'Приложение 4'!$B$3:$C$19,2,FALSE)</f>
        <v>м²</v>
      </c>
      <c r="G590" s="13">
        <v>160</v>
      </c>
      <c r="H590" s="13" t="s">
        <v>935</v>
      </c>
      <c r="I590" s="22">
        <v>0</v>
      </c>
      <c r="J590" s="22">
        <f>G590*I590</f>
        <v>0</v>
      </c>
    </row>
    <row r="591" spans="1:10" x14ac:dyDescent="0.15">
      <c r="C591" s="20" t="s">
        <v>1076</v>
      </c>
      <c r="D591" s="13" t="s">
        <v>89</v>
      </c>
      <c r="E591" s="13" t="s">
        <v>54</v>
      </c>
      <c r="H591" s="13" t="s">
        <v>937</v>
      </c>
    </row>
    <row r="592" spans="1:10" ht="30" customHeight="1" x14ac:dyDescent="0.15">
      <c r="A592" s="19" t="s">
        <v>1077</v>
      </c>
      <c r="B592" s="20"/>
      <c r="C592" s="20"/>
      <c r="D592" s="13"/>
      <c r="E592" s="13" t="s">
        <v>52</v>
      </c>
      <c r="F592" s="21" t="str">
        <f>VLOOKUP($E592,'Приложение 4'!$B$3:$C$19,2,FALSE)</f>
        <v>м²</v>
      </c>
      <c r="G592" s="13"/>
      <c r="H592" s="13"/>
      <c r="I592" s="22">
        <v>0</v>
      </c>
      <c r="J592" s="22">
        <f>G592*I592</f>
        <v>0</v>
      </c>
    </row>
    <row r="593" spans="1:10" x14ac:dyDescent="0.15">
      <c r="E593" s="13" t="s">
        <v>54</v>
      </c>
    </row>
    <row r="594" spans="1:10" ht="30" customHeight="1" x14ac:dyDescent="0.15">
      <c r="A594" s="19" t="s">
        <v>1078</v>
      </c>
      <c r="B594" s="20"/>
      <c r="C594" s="20"/>
      <c r="D594" s="13"/>
      <c r="E594" s="13" t="s">
        <v>52</v>
      </c>
      <c r="F594" s="21" t="str">
        <f>VLOOKUP($E594,'Приложение 4'!$B$3:$C$19,2,FALSE)</f>
        <v>м²</v>
      </c>
      <c r="G594" s="13"/>
      <c r="H594" s="13"/>
      <c r="I594" s="22">
        <v>0</v>
      </c>
      <c r="J594" s="22">
        <f>G594*I594</f>
        <v>0</v>
      </c>
    </row>
    <row r="595" spans="1:10" x14ac:dyDescent="0.15">
      <c r="E595" s="13" t="s">
        <v>54</v>
      </c>
    </row>
    <row r="596" spans="1:10" ht="30" customHeight="1" x14ac:dyDescent="0.15">
      <c r="A596" s="19" t="s">
        <v>1079</v>
      </c>
      <c r="B596" s="20"/>
      <c r="C596" s="20"/>
      <c r="D596" s="13"/>
      <c r="E596" s="13" t="s">
        <v>52</v>
      </c>
      <c r="F596" s="21" t="str">
        <f>VLOOKUP($E596,'Приложение 4'!$B$3:$C$19,2,FALSE)</f>
        <v>м²</v>
      </c>
      <c r="G596" s="13"/>
      <c r="H596" s="13"/>
      <c r="I596" s="22">
        <v>0</v>
      </c>
      <c r="J596" s="22">
        <f>G596*I596</f>
        <v>0</v>
      </c>
    </row>
    <row r="597" spans="1:10" x14ac:dyDescent="0.15">
      <c r="E597" s="13" t="s">
        <v>54</v>
      </c>
    </row>
    <row r="598" spans="1:10" ht="30" customHeight="1" x14ac:dyDescent="0.15">
      <c r="A598" s="19" t="s">
        <v>1080</v>
      </c>
      <c r="B598" s="20"/>
      <c r="C598" s="20"/>
      <c r="D598" s="13"/>
      <c r="E598" s="13" t="s">
        <v>52</v>
      </c>
      <c r="F598" s="21" t="str">
        <f>VLOOKUP($E598,'Приложение 4'!$B$3:$C$19,2,FALSE)</f>
        <v>м²</v>
      </c>
      <c r="G598" s="13"/>
      <c r="H598" s="13"/>
      <c r="I598" s="22">
        <v>0</v>
      </c>
      <c r="J598" s="22">
        <f>G598*I598</f>
        <v>0</v>
      </c>
    </row>
    <row r="599" spans="1:10" x14ac:dyDescent="0.15">
      <c r="E599" s="13" t="s">
        <v>54</v>
      </c>
    </row>
    <row r="600" spans="1:10" ht="30" customHeight="1" x14ac:dyDescent="0.15">
      <c r="A600" s="19" t="s">
        <v>1081</v>
      </c>
      <c r="B600" s="20"/>
      <c r="C600" s="20"/>
      <c r="D600" s="13"/>
      <c r="E600" s="13" t="s">
        <v>52</v>
      </c>
      <c r="F600" s="21" t="str">
        <f>VLOOKUP($E600,'Приложение 4'!$B$3:$C$19,2,FALSE)</f>
        <v>м²</v>
      </c>
      <c r="G600" s="13"/>
      <c r="H600" s="13"/>
      <c r="I600" s="22">
        <v>0</v>
      </c>
      <c r="J600" s="22">
        <f>G600*I600</f>
        <v>0</v>
      </c>
    </row>
    <row r="601" spans="1:10" x14ac:dyDescent="0.15">
      <c r="E601" s="13" t="s">
        <v>54</v>
      </c>
    </row>
    <row r="602" spans="1:10" ht="30" customHeight="1" x14ac:dyDescent="0.15">
      <c r="A602" s="19" t="s">
        <v>1082</v>
      </c>
      <c r="B602" s="20"/>
      <c r="C602" s="20"/>
      <c r="D602" s="13"/>
      <c r="E602" s="13" t="s">
        <v>52</v>
      </c>
      <c r="F602" s="21" t="str">
        <f>VLOOKUP($E602,'Приложение 4'!$B$3:$C$19,2,FALSE)</f>
        <v>м²</v>
      </c>
      <c r="G602" s="13"/>
      <c r="H602" s="13"/>
      <c r="I602" s="22">
        <v>0</v>
      </c>
      <c r="J602" s="22">
        <f>G602*I602</f>
        <v>0</v>
      </c>
    </row>
    <row r="603" spans="1:10" x14ac:dyDescent="0.15">
      <c r="E603" s="13" t="s">
        <v>54</v>
      </c>
    </row>
    <row r="604" spans="1:10" ht="30" customHeight="1" x14ac:dyDescent="0.15">
      <c r="A604" s="19" t="s">
        <v>1083</v>
      </c>
      <c r="B604" s="20"/>
      <c r="C604" s="20"/>
      <c r="D604" s="13"/>
      <c r="E604" s="13" t="s">
        <v>52</v>
      </c>
      <c r="F604" s="21" t="str">
        <f>VLOOKUP($E604,'Приложение 4'!$B$3:$C$19,2,FALSE)</f>
        <v>м²</v>
      </c>
      <c r="G604" s="13"/>
      <c r="H604" s="13"/>
      <c r="I604" s="22">
        <v>0</v>
      </c>
      <c r="J604" s="22">
        <f>G604*I604</f>
        <v>0</v>
      </c>
    </row>
    <row r="605" spans="1:10" x14ac:dyDescent="0.15">
      <c r="E605" s="13" t="s">
        <v>54</v>
      </c>
    </row>
    <row r="606" spans="1:10" ht="30" customHeight="1" x14ac:dyDescent="0.15">
      <c r="A606" s="19" t="s">
        <v>1084</v>
      </c>
      <c r="B606" s="20"/>
      <c r="C606" s="20"/>
      <c r="D606" s="13"/>
      <c r="E606" s="13" t="s">
        <v>52</v>
      </c>
      <c r="F606" s="21" t="str">
        <f>VLOOKUP($E606,'Приложение 4'!$B$3:$C$19,2,FALSE)</f>
        <v>м²</v>
      </c>
      <c r="G606" s="13"/>
      <c r="H606" s="13"/>
      <c r="I606" s="22">
        <v>0</v>
      </c>
      <c r="J606" s="22">
        <f>G606*I606</f>
        <v>0</v>
      </c>
    </row>
    <row r="607" spans="1:10" x14ac:dyDescent="0.15">
      <c r="E607" s="13" t="s">
        <v>54</v>
      </c>
    </row>
    <row r="608" spans="1:10" ht="30" customHeight="1" x14ac:dyDescent="0.15">
      <c r="A608" s="19" t="s">
        <v>1085</v>
      </c>
      <c r="B608" s="20"/>
      <c r="C608" s="20"/>
      <c r="D608" s="13"/>
      <c r="E608" s="13" t="s">
        <v>52</v>
      </c>
      <c r="F608" s="21" t="str">
        <f>VLOOKUP($E608,'Приложение 4'!$B$3:$C$19,2,FALSE)</f>
        <v>м²</v>
      </c>
      <c r="G608" s="13"/>
      <c r="H608" s="13"/>
      <c r="I608" s="22">
        <v>0</v>
      </c>
      <c r="J608" s="22">
        <f>G608*I608</f>
        <v>0</v>
      </c>
    </row>
    <row r="609" spans="1:10" x14ac:dyDescent="0.15">
      <c r="E609" s="13" t="s">
        <v>54</v>
      </c>
    </row>
    <row r="610" spans="1:10" ht="30" customHeight="1" x14ac:dyDescent="0.15">
      <c r="A610" s="19" t="s">
        <v>1086</v>
      </c>
      <c r="B610" s="20"/>
      <c r="C610" s="20"/>
      <c r="D610" s="13"/>
      <c r="E610" s="13" t="s">
        <v>52</v>
      </c>
      <c r="F610" s="21" t="str">
        <f>VLOOKUP($E610,'Приложение 4'!$B$3:$C$19,2,FALSE)</f>
        <v>м²</v>
      </c>
      <c r="G610" s="13"/>
      <c r="H610" s="13"/>
      <c r="I610" s="22">
        <v>0</v>
      </c>
      <c r="J610" s="22">
        <f>G610*I610</f>
        <v>0</v>
      </c>
    </row>
    <row r="611" spans="1:10" x14ac:dyDescent="0.15">
      <c r="E611" s="13" t="s">
        <v>54</v>
      </c>
    </row>
    <row r="612" spans="1:10" ht="30" customHeight="1" x14ac:dyDescent="0.15">
      <c r="A612" s="19" t="s">
        <v>1087</v>
      </c>
      <c r="B612" s="20"/>
      <c r="C612" s="20"/>
      <c r="D612" s="13"/>
      <c r="E612" s="13" t="s">
        <v>52</v>
      </c>
      <c r="F612" s="21" t="str">
        <f>VLOOKUP($E612,'Приложение 4'!$B$3:$C$19,2,FALSE)</f>
        <v>м²</v>
      </c>
      <c r="G612" s="13"/>
      <c r="H612" s="13"/>
      <c r="I612" s="22">
        <v>0</v>
      </c>
      <c r="J612" s="22">
        <f>G612*I612</f>
        <v>0</v>
      </c>
    </row>
    <row r="613" spans="1:10" x14ac:dyDescent="0.15">
      <c r="E613" s="13" t="s">
        <v>54</v>
      </c>
    </row>
    <row r="614" spans="1:10" ht="30" customHeight="1" x14ac:dyDescent="0.15">
      <c r="A614" s="19" t="s">
        <v>1088</v>
      </c>
      <c r="B614" s="20"/>
      <c r="C614" s="20"/>
      <c r="D614" s="13"/>
      <c r="E614" s="13" t="s">
        <v>52</v>
      </c>
      <c r="F614" s="21" t="str">
        <f>VLOOKUP($E614,'Приложение 4'!$B$3:$C$19,2,FALSE)</f>
        <v>м²</v>
      </c>
      <c r="G614" s="13"/>
      <c r="H614" s="13"/>
      <c r="I614" s="22">
        <v>0</v>
      </c>
      <c r="J614" s="22">
        <f>G614*I614</f>
        <v>0</v>
      </c>
    </row>
    <row r="615" spans="1:10" x14ac:dyDescent="0.15">
      <c r="E615" s="13" t="s">
        <v>54</v>
      </c>
    </row>
    <row r="616" spans="1:10" ht="18.75" customHeight="1" x14ac:dyDescent="0.15">
      <c r="A616" s="14" t="s">
        <v>1089</v>
      </c>
      <c r="B616" s="15" t="s">
        <v>1090</v>
      </c>
      <c r="C616" s="15"/>
      <c r="D616" s="16"/>
      <c r="E616" s="16"/>
      <c r="F616" s="14" t="s">
        <v>57</v>
      </c>
      <c r="G616" s="14">
        <f>SUM(G618:G654)</f>
        <v>1248.4199999999998</v>
      </c>
      <c r="H616" s="14"/>
      <c r="I616" s="18"/>
      <c r="J616" s="18">
        <f>SUM(J618:J656)</f>
        <v>0</v>
      </c>
    </row>
    <row r="617" spans="1:10" ht="18.75" x14ac:dyDescent="0.15">
      <c r="B617" s="15" t="s">
        <v>1091</v>
      </c>
      <c r="F617" s="14" t="s">
        <v>60</v>
      </c>
    </row>
    <row r="618" spans="1:10" ht="45" customHeight="1" x14ac:dyDescent="0.15">
      <c r="A618" s="19" t="s">
        <v>1092</v>
      </c>
      <c r="B618" s="20"/>
      <c r="C618" s="20" t="s">
        <v>1093</v>
      </c>
      <c r="D618" s="13" t="s">
        <v>1094</v>
      </c>
      <c r="E618" s="13" t="s">
        <v>56</v>
      </c>
      <c r="F618" s="21" t="str">
        <f>VLOOKUP($E618,'Приложение 4'!$B$3:$C$19,2,FALSE)</f>
        <v>м³</v>
      </c>
      <c r="G618" s="13">
        <v>491.15</v>
      </c>
      <c r="H618" s="13" t="s">
        <v>1095</v>
      </c>
      <c r="I618" s="22">
        <v>0</v>
      </c>
      <c r="J618" s="22">
        <f>G618*I618</f>
        <v>0</v>
      </c>
    </row>
    <row r="619" spans="1:10" ht="27" x14ac:dyDescent="0.15">
      <c r="C619" s="20" t="s">
        <v>1096</v>
      </c>
      <c r="D619" s="13" t="s">
        <v>1097</v>
      </c>
      <c r="E619" s="13" t="s">
        <v>59</v>
      </c>
      <c r="H619" s="13" t="s">
        <v>1098</v>
      </c>
    </row>
    <row r="620" spans="1:10" ht="30" customHeight="1" x14ac:dyDescent="0.15">
      <c r="A620" s="19" t="s">
        <v>1099</v>
      </c>
      <c r="B620" s="20"/>
      <c r="C620" s="20" t="s">
        <v>1100</v>
      </c>
      <c r="D620" s="13" t="s">
        <v>1094</v>
      </c>
      <c r="E620" s="13" t="s">
        <v>56</v>
      </c>
      <c r="F620" s="21" t="str">
        <f>VLOOKUP($E620,'Приложение 4'!$B$3:$C$19,2,FALSE)</f>
        <v>м³</v>
      </c>
      <c r="G620" s="13">
        <v>192.65</v>
      </c>
      <c r="H620" s="13" t="s">
        <v>1101</v>
      </c>
      <c r="I620" s="22">
        <v>0</v>
      </c>
      <c r="J620" s="22">
        <f>G620*I620</f>
        <v>0</v>
      </c>
    </row>
    <row r="621" spans="1:10" x14ac:dyDescent="0.15">
      <c r="C621" s="20" t="s">
        <v>1102</v>
      </c>
      <c r="D621" s="13" t="s">
        <v>1097</v>
      </c>
      <c r="E621" s="13" t="s">
        <v>59</v>
      </c>
      <c r="H621" s="13" t="s">
        <v>1103</v>
      </c>
    </row>
    <row r="622" spans="1:10" ht="30" customHeight="1" x14ac:dyDescent="0.15">
      <c r="A622" s="19" t="s">
        <v>1104</v>
      </c>
      <c r="B622" s="20"/>
      <c r="C622" s="20" t="s">
        <v>1105</v>
      </c>
      <c r="D622" s="13" t="s">
        <v>1094</v>
      </c>
      <c r="E622" s="13" t="s">
        <v>56</v>
      </c>
      <c r="F622" s="21" t="str">
        <f>VLOOKUP($E622,'Приложение 4'!$B$3:$C$19,2,FALSE)</f>
        <v>м³</v>
      </c>
      <c r="G622" s="13">
        <v>548</v>
      </c>
      <c r="H622" s="13" t="s">
        <v>1106</v>
      </c>
      <c r="I622" s="22">
        <v>0</v>
      </c>
      <c r="J622" s="22">
        <f>G622*I622</f>
        <v>0</v>
      </c>
    </row>
    <row r="623" spans="1:10" x14ac:dyDescent="0.15">
      <c r="C623" s="20" t="s">
        <v>1107</v>
      </c>
      <c r="D623" s="13" t="s">
        <v>1097</v>
      </c>
      <c r="E623" s="13" t="s">
        <v>59</v>
      </c>
      <c r="H623" s="13" t="s">
        <v>1108</v>
      </c>
    </row>
    <row r="624" spans="1:10" ht="30" customHeight="1" x14ac:dyDescent="0.15">
      <c r="A624" s="19" t="s">
        <v>1109</v>
      </c>
      <c r="B624" s="20"/>
      <c r="C624" s="20" t="s">
        <v>1110</v>
      </c>
      <c r="D624" s="13" t="s">
        <v>1094</v>
      </c>
      <c r="E624" s="13" t="s">
        <v>56</v>
      </c>
      <c r="F624" s="21" t="str">
        <f>VLOOKUP($E624,'Приложение 4'!$B$3:$C$19,2,FALSE)</f>
        <v>м³</v>
      </c>
      <c r="G624" s="13"/>
      <c r="H624" s="13" t="s">
        <v>935</v>
      </c>
      <c r="I624" s="22">
        <v>0</v>
      </c>
      <c r="J624" s="22">
        <f>G624*I624</f>
        <v>0</v>
      </c>
    </row>
    <row r="625" spans="1:10" x14ac:dyDescent="0.15">
      <c r="C625" s="20" t="s">
        <v>1111</v>
      </c>
      <c r="D625" s="13" t="s">
        <v>1097</v>
      </c>
      <c r="E625" s="13" t="s">
        <v>59</v>
      </c>
      <c r="H625" s="13" t="s">
        <v>937</v>
      </c>
    </row>
    <row r="626" spans="1:10" ht="45" customHeight="1" x14ac:dyDescent="0.15">
      <c r="A626" s="19" t="s">
        <v>1112</v>
      </c>
      <c r="B626" s="20"/>
      <c r="C626" s="20" t="s">
        <v>1113</v>
      </c>
      <c r="D626" s="13" t="s">
        <v>1094</v>
      </c>
      <c r="E626" s="13" t="s">
        <v>56</v>
      </c>
      <c r="F626" s="21" t="str">
        <f>VLOOKUP($E626,'Приложение 4'!$B$3:$C$19,2,FALSE)</f>
        <v>м³</v>
      </c>
      <c r="G626" s="13"/>
      <c r="H626" s="13" t="s">
        <v>935</v>
      </c>
      <c r="I626" s="22">
        <v>0</v>
      </c>
      <c r="J626" s="22">
        <f>G626*I626</f>
        <v>0</v>
      </c>
    </row>
    <row r="627" spans="1:10" x14ac:dyDescent="0.15">
      <c r="C627" s="20" t="s">
        <v>1114</v>
      </c>
      <c r="D627" s="13" t="s">
        <v>1097</v>
      </c>
      <c r="E627" s="13" t="s">
        <v>59</v>
      </c>
      <c r="H627" s="13" t="s">
        <v>937</v>
      </c>
    </row>
    <row r="628" spans="1:10" ht="45" customHeight="1" x14ac:dyDescent="0.15">
      <c r="A628" s="19" t="s">
        <v>1115</v>
      </c>
      <c r="B628" s="20"/>
      <c r="C628" s="20" t="s">
        <v>1116</v>
      </c>
      <c r="D628" s="13" t="s">
        <v>1094</v>
      </c>
      <c r="E628" s="13" t="s">
        <v>56</v>
      </c>
      <c r="F628" s="21" t="str">
        <f>VLOOKUP($E628,'Приложение 4'!$B$3:$C$19,2,FALSE)</f>
        <v>м³</v>
      </c>
      <c r="G628" s="13"/>
      <c r="H628" s="13" t="s">
        <v>935</v>
      </c>
      <c r="I628" s="22">
        <v>0</v>
      </c>
      <c r="J628" s="22">
        <f>G628*I628</f>
        <v>0</v>
      </c>
    </row>
    <row r="629" spans="1:10" x14ac:dyDescent="0.15">
      <c r="C629" s="20" t="s">
        <v>1117</v>
      </c>
      <c r="D629" s="13" t="s">
        <v>1097</v>
      </c>
      <c r="E629" s="13" t="s">
        <v>59</v>
      </c>
      <c r="H629" s="13" t="s">
        <v>937</v>
      </c>
    </row>
    <row r="630" spans="1:10" ht="30" customHeight="1" x14ac:dyDescent="0.15">
      <c r="A630" s="19" t="s">
        <v>1118</v>
      </c>
      <c r="B630" s="20"/>
      <c r="C630" s="20" t="s">
        <v>1119</v>
      </c>
      <c r="D630" s="13" t="s">
        <v>1094</v>
      </c>
      <c r="E630" s="13" t="s">
        <v>56</v>
      </c>
      <c r="F630" s="21" t="str">
        <f>VLOOKUP($E630,'Приложение 4'!$B$3:$C$19,2,FALSE)</f>
        <v>м³</v>
      </c>
      <c r="G630" s="13"/>
      <c r="H630" s="13" t="s">
        <v>935</v>
      </c>
      <c r="I630" s="22">
        <v>0</v>
      </c>
      <c r="J630" s="22">
        <f>G630*I630</f>
        <v>0</v>
      </c>
    </row>
    <row r="631" spans="1:10" x14ac:dyDescent="0.15">
      <c r="C631" s="20" t="s">
        <v>1120</v>
      </c>
      <c r="D631" s="13" t="s">
        <v>1097</v>
      </c>
      <c r="E631" s="13" t="s">
        <v>59</v>
      </c>
      <c r="H631" s="13" t="s">
        <v>937</v>
      </c>
    </row>
    <row r="632" spans="1:10" ht="30" customHeight="1" x14ac:dyDescent="0.15">
      <c r="A632" s="19" t="s">
        <v>1121</v>
      </c>
      <c r="B632" s="20"/>
      <c r="C632" s="20" t="s">
        <v>1122</v>
      </c>
      <c r="D632" s="13" t="s">
        <v>1094</v>
      </c>
      <c r="E632" s="13" t="s">
        <v>56</v>
      </c>
      <c r="F632" s="21" t="str">
        <f>VLOOKUP($E632,'Приложение 4'!$B$3:$C$19,2,FALSE)</f>
        <v>м³</v>
      </c>
      <c r="G632" s="13"/>
      <c r="H632" s="13" t="s">
        <v>935</v>
      </c>
      <c r="I632" s="22">
        <v>0</v>
      </c>
      <c r="J632" s="22">
        <f>G632*I632</f>
        <v>0</v>
      </c>
    </row>
    <row r="633" spans="1:10" x14ac:dyDescent="0.15">
      <c r="C633" s="20" t="s">
        <v>1123</v>
      </c>
      <c r="D633" s="13" t="s">
        <v>1097</v>
      </c>
      <c r="E633" s="13" t="s">
        <v>59</v>
      </c>
      <c r="H633" s="13" t="s">
        <v>937</v>
      </c>
    </row>
    <row r="634" spans="1:10" ht="45" customHeight="1" x14ac:dyDescent="0.15">
      <c r="A634" s="19" t="s">
        <v>1124</v>
      </c>
      <c r="B634" s="20"/>
      <c r="C634" s="20" t="s">
        <v>1125</v>
      </c>
      <c r="D634" s="13" t="s">
        <v>1094</v>
      </c>
      <c r="E634" s="13" t="s">
        <v>56</v>
      </c>
      <c r="F634" s="21" t="str">
        <f>VLOOKUP($E634,'Приложение 4'!$B$3:$C$19,2,FALSE)</f>
        <v>м³</v>
      </c>
      <c r="G634" s="13"/>
      <c r="H634" s="13" t="s">
        <v>935</v>
      </c>
      <c r="I634" s="22">
        <v>0</v>
      </c>
      <c r="J634" s="22">
        <f>G634*I634</f>
        <v>0</v>
      </c>
    </row>
    <row r="635" spans="1:10" x14ac:dyDescent="0.15">
      <c r="C635" s="20" t="s">
        <v>1126</v>
      </c>
      <c r="D635" s="13" t="s">
        <v>1097</v>
      </c>
      <c r="E635" s="13" t="s">
        <v>59</v>
      </c>
      <c r="H635" s="13" t="s">
        <v>937</v>
      </c>
    </row>
    <row r="636" spans="1:10" ht="30" customHeight="1" x14ac:dyDescent="0.15">
      <c r="A636" s="19" t="s">
        <v>1127</v>
      </c>
      <c r="B636" s="20"/>
      <c r="C636" s="20" t="s">
        <v>1128</v>
      </c>
      <c r="D636" s="13" t="s">
        <v>1094</v>
      </c>
      <c r="E636" s="13" t="s">
        <v>56</v>
      </c>
      <c r="F636" s="21" t="str">
        <f>VLOOKUP($E636,'Приложение 4'!$B$3:$C$19,2,FALSE)</f>
        <v>м³</v>
      </c>
      <c r="G636" s="13">
        <v>13</v>
      </c>
      <c r="H636" s="13" t="s">
        <v>1129</v>
      </c>
      <c r="I636" s="22">
        <v>0</v>
      </c>
      <c r="J636" s="22">
        <f>G636*I636</f>
        <v>0</v>
      </c>
    </row>
    <row r="637" spans="1:10" x14ac:dyDescent="0.15">
      <c r="C637" s="20" t="s">
        <v>1130</v>
      </c>
      <c r="D637" s="13" t="s">
        <v>1097</v>
      </c>
      <c r="E637" s="13" t="s">
        <v>59</v>
      </c>
      <c r="H637" s="13" t="s">
        <v>1131</v>
      </c>
    </row>
    <row r="638" spans="1:10" ht="30" customHeight="1" x14ac:dyDescent="0.15">
      <c r="A638" s="19" t="s">
        <v>1132</v>
      </c>
      <c r="B638" s="20"/>
      <c r="C638" s="20" t="s">
        <v>1133</v>
      </c>
      <c r="D638" s="13" t="s">
        <v>1094</v>
      </c>
      <c r="E638" s="13" t="s">
        <v>56</v>
      </c>
      <c r="F638" s="21" t="str">
        <f>VLOOKUP($E638,'Приложение 4'!$B$3:$C$19,2,FALSE)</f>
        <v>м³</v>
      </c>
      <c r="G638" s="13">
        <v>3.62</v>
      </c>
      <c r="H638" s="13" t="s">
        <v>1134</v>
      </c>
      <c r="I638" s="22">
        <v>0</v>
      </c>
      <c r="J638" s="22">
        <f>G638*I638</f>
        <v>0</v>
      </c>
    </row>
    <row r="639" spans="1:10" x14ac:dyDescent="0.15">
      <c r="C639" s="20" t="s">
        <v>1135</v>
      </c>
      <c r="D639" s="13" t="s">
        <v>1097</v>
      </c>
      <c r="E639" s="13" t="s">
        <v>59</v>
      </c>
      <c r="H639" s="13" t="s">
        <v>1136</v>
      </c>
    </row>
    <row r="640" spans="1:10" ht="30" customHeight="1" x14ac:dyDescent="0.15">
      <c r="A640" s="19" t="s">
        <v>1137</v>
      </c>
      <c r="B640" s="20"/>
      <c r="C640" s="20"/>
      <c r="D640" s="13"/>
      <c r="E640" s="13" t="s">
        <v>56</v>
      </c>
      <c r="F640" s="21" t="str">
        <f>VLOOKUP($E640,'Приложение 4'!$B$3:$C$19,2,FALSE)</f>
        <v>м³</v>
      </c>
      <c r="G640" s="13"/>
      <c r="H640" s="13"/>
      <c r="I640" s="22">
        <v>0</v>
      </c>
      <c r="J640" s="22">
        <f>G640*I640</f>
        <v>0</v>
      </c>
    </row>
    <row r="641" spans="1:10" x14ac:dyDescent="0.15">
      <c r="E641" s="13" t="s">
        <v>59</v>
      </c>
    </row>
    <row r="642" spans="1:10" ht="30" customHeight="1" x14ac:dyDescent="0.15">
      <c r="A642" s="19" t="s">
        <v>1138</v>
      </c>
      <c r="B642" s="20"/>
      <c r="C642" s="20"/>
      <c r="D642" s="13"/>
      <c r="E642" s="13" t="s">
        <v>56</v>
      </c>
      <c r="F642" s="21" t="str">
        <f>VLOOKUP($E642,'Приложение 4'!$B$3:$C$19,2,FALSE)</f>
        <v>м³</v>
      </c>
      <c r="G642" s="13"/>
      <c r="H642" s="13"/>
      <c r="I642" s="22">
        <v>0</v>
      </c>
      <c r="J642" s="22">
        <f>G642*I642</f>
        <v>0</v>
      </c>
    </row>
    <row r="643" spans="1:10" x14ac:dyDescent="0.15">
      <c r="E643" s="13" t="s">
        <v>59</v>
      </c>
    </row>
    <row r="644" spans="1:10" ht="30" customHeight="1" x14ac:dyDescent="0.15">
      <c r="A644" s="19" t="s">
        <v>1139</v>
      </c>
      <c r="B644" s="20"/>
      <c r="C644" s="20"/>
      <c r="D644" s="13"/>
      <c r="E644" s="13" t="s">
        <v>56</v>
      </c>
      <c r="F644" s="21" t="str">
        <f>VLOOKUP($E644,'Приложение 4'!$B$3:$C$19,2,FALSE)</f>
        <v>м³</v>
      </c>
      <c r="G644" s="13"/>
      <c r="H644" s="13"/>
      <c r="I644" s="22">
        <v>0</v>
      </c>
      <c r="J644" s="22">
        <f>G644*I644</f>
        <v>0</v>
      </c>
    </row>
    <row r="645" spans="1:10" x14ac:dyDescent="0.15">
      <c r="E645" s="13" t="s">
        <v>59</v>
      </c>
    </row>
    <row r="646" spans="1:10" ht="30" customHeight="1" x14ac:dyDescent="0.15">
      <c r="A646" s="19" t="s">
        <v>1140</v>
      </c>
      <c r="B646" s="20"/>
      <c r="C646" s="20"/>
      <c r="D646" s="13"/>
      <c r="E646" s="13" t="s">
        <v>56</v>
      </c>
      <c r="F646" s="21" t="str">
        <f>VLOOKUP($E646,'Приложение 4'!$B$3:$C$19,2,FALSE)</f>
        <v>м³</v>
      </c>
      <c r="G646" s="13"/>
      <c r="H646" s="13"/>
      <c r="I646" s="22">
        <v>0</v>
      </c>
      <c r="J646" s="22">
        <f>G646*I646</f>
        <v>0</v>
      </c>
    </row>
    <row r="647" spans="1:10" x14ac:dyDescent="0.15">
      <c r="E647" s="13" t="s">
        <v>59</v>
      </c>
    </row>
    <row r="648" spans="1:10" ht="30" customHeight="1" x14ac:dyDescent="0.15">
      <c r="A648" s="19" t="s">
        <v>1141</v>
      </c>
      <c r="B648" s="20"/>
      <c r="C648" s="20"/>
      <c r="D648" s="13"/>
      <c r="E648" s="13" t="s">
        <v>56</v>
      </c>
      <c r="F648" s="21" t="str">
        <f>VLOOKUP($E648,'Приложение 4'!$B$3:$C$19,2,FALSE)</f>
        <v>м³</v>
      </c>
      <c r="G648" s="13"/>
      <c r="H648" s="13"/>
      <c r="I648" s="22">
        <v>0</v>
      </c>
      <c r="J648" s="22">
        <f>G648*I648</f>
        <v>0</v>
      </c>
    </row>
    <row r="649" spans="1:10" x14ac:dyDescent="0.15">
      <c r="E649" s="13" t="s">
        <v>59</v>
      </c>
    </row>
    <row r="650" spans="1:10" ht="30" customHeight="1" x14ac:dyDescent="0.15">
      <c r="A650" s="19" t="s">
        <v>1142</v>
      </c>
      <c r="B650" s="20"/>
      <c r="C650" s="20"/>
      <c r="D650" s="13"/>
      <c r="E650" s="13" t="s">
        <v>56</v>
      </c>
      <c r="F650" s="21" t="str">
        <f>VLOOKUP($E650,'Приложение 4'!$B$3:$C$19,2,FALSE)</f>
        <v>м³</v>
      </c>
      <c r="G650" s="13"/>
      <c r="H650" s="13"/>
      <c r="I650" s="22">
        <v>0</v>
      </c>
      <c r="J650" s="22">
        <f>G650*I650</f>
        <v>0</v>
      </c>
    </row>
    <row r="651" spans="1:10" x14ac:dyDescent="0.15">
      <c r="E651" s="13" t="s">
        <v>59</v>
      </c>
    </row>
    <row r="652" spans="1:10" ht="30" customHeight="1" x14ac:dyDescent="0.15">
      <c r="A652" s="19" t="s">
        <v>1143</v>
      </c>
      <c r="B652" s="20"/>
      <c r="C652" s="20"/>
      <c r="D652" s="13"/>
      <c r="E652" s="13" t="s">
        <v>56</v>
      </c>
      <c r="F652" s="21" t="str">
        <f>VLOOKUP($E652,'Приложение 4'!$B$3:$C$19,2,FALSE)</f>
        <v>м³</v>
      </c>
      <c r="G652" s="13"/>
      <c r="H652" s="13"/>
      <c r="I652" s="22">
        <v>0</v>
      </c>
      <c r="J652" s="22">
        <f>G652*I652</f>
        <v>0</v>
      </c>
    </row>
    <row r="653" spans="1:10" x14ac:dyDescent="0.15">
      <c r="E653" s="13" t="s">
        <v>59</v>
      </c>
    </row>
    <row r="654" spans="1:10" ht="30" customHeight="1" x14ac:dyDescent="0.15">
      <c r="A654" s="19" t="s">
        <v>1144</v>
      </c>
      <c r="B654" s="20"/>
      <c r="C654" s="20"/>
      <c r="D654" s="13"/>
      <c r="E654" s="13" t="s">
        <v>56</v>
      </c>
      <c r="F654" s="21" t="str">
        <f>VLOOKUP($E654,'Приложение 4'!$B$3:$C$19,2,FALSE)</f>
        <v>м³</v>
      </c>
      <c r="G654" s="13"/>
      <c r="H654" s="13"/>
      <c r="I654" s="22">
        <v>0</v>
      </c>
      <c r="J654" s="22">
        <f>G654*I654</f>
        <v>0</v>
      </c>
    </row>
    <row r="655" spans="1:10" x14ac:dyDescent="0.15">
      <c r="E655" s="13" t="s">
        <v>59</v>
      </c>
    </row>
    <row r="656" spans="1:10" ht="30" customHeight="1" x14ac:dyDescent="0.15">
      <c r="A656" s="19" t="s">
        <v>1145</v>
      </c>
      <c r="B656" s="20"/>
      <c r="C656" s="20"/>
      <c r="D656" s="13"/>
      <c r="E656" s="13" t="s">
        <v>56</v>
      </c>
      <c r="F656" s="21" t="str">
        <f>VLOOKUP($E656,'Приложение 4'!$B$3:$C$19,2,FALSE)</f>
        <v>м³</v>
      </c>
      <c r="G656" s="13"/>
      <c r="H656" s="13"/>
      <c r="I656" s="22">
        <v>0</v>
      </c>
      <c r="J656" s="22">
        <f>G656*I656</f>
        <v>0</v>
      </c>
    </row>
    <row r="657" spans="1:10" x14ac:dyDescent="0.15">
      <c r="E657" s="13" t="s">
        <v>59</v>
      </c>
    </row>
    <row r="658" spans="1:10" ht="18.75" customHeight="1" x14ac:dyDescent="0.15">
      <c r="A658" s="14" t="s">
        <v>1146</v>
      </c>
      <c r="B658" s="15" t="s">
        <v>1147</v>
      </c>
      <c r="C658" s="15"/>
      <c r="D658" s="16"/>
      <c r="E658" s="16"/>
      <c r="F658" s="14" t="s">
        <v>40</v>
      </c>
      <c r="G658" s="14"/>
      <c r="H658" s="14"/>
      <c r="I658" s="18"/>
      <c r="J658" s="18">
        <f>SUM(J660:J696)</f>
        <v>0</v>
      </c>
    </row>
    <row r="659" spans="1:10" ht="18.75" x14ac:dyDescent="0.15">
      <c r="B659" s="15" t="s">
        <v>43</v>
      </c>
      <c r="F659" s="14" t="s">
        <v>44</v>
      </c>
    </row>
    <row r="660" spans="1:10" ht="30" customHeight="1" x14ac:dyDescent="0.15">
      <c r="A660" s="19" t="s">
        <v>1148</v>
      </c>
      <c r="B660" s="13"/>
      <c r="C660" s="13" t="s">
        <v>1149</v>
      </c>
      <c r="D660" s="13" t="s">
        <v>87</v>
      </c>
      <c r="E660" s="13" t="s">
        <v>39</v>
      </c>
      <c r="F660" s="21" t="str">
        <f>VLOOKUP($E660,'Приложение 4'!$B$3:$C$19,2,FALSE)</f>
        <v>к-т</v>
      </c>
      <c r="G660" s="13">
        <v>1</v>
      </c>
      <c r="H660" s="13" t="s">
        <v>935</v>
      </c>
      <c r="I660" s="22">
        <v>0</v>
      </c>
      <c r="J660" s="22">
        <f>G660*I660</f>
        <v>0</v>
      </c>
    </row>
    <row r="661" spans="1:10" x14ac:dyDescent="0.15">
      <c r="C661" s="13" t="s">
        <v>1150</v>
      </c>
      <c r="D661" s="13" t="s">
        <v>89</v>
      </c>
      <c r="E661" s="13" t="s">
        <v>43</v>
      </c>
      <c r="H661" s="13" t="s">
        <v>937</v>
      </c>
    </row>
    <row r="662" spans="1:10" ht="30" customHeight="1" x14ac:dyDescent="0.15">
      <c r="A662" s="19" t="s">
        <v>1151</v>
      </c>
      <c r="B662" s="13"/>
      <c r="C662" s="13" t="s">
        <v>1152</v>
      </c>
      <c r="D662" s="13" t="s">
        <v>87</v>
      </c>
      <c r="E662" s="13" t="s">
        <v>39</v>
      </c>
      <c r="F662" s="21" t="str">
        <f>VLOOKUP($E662,'Приложение 4'!$B$3:$C$19,2,FALSE)</f>
        <v>к-т</v>
      </c>
      <c r="G662" s="13">
        <v>1</v>
      </c>
      <c r="H662" s="13" t="s">
        <v>935</v>
      </c>
      <c r="I662" s="22">
        <v>0</v>
      </c>
      <c r="J662" s="22">
        <f>G662*I662</f>
        <v>0</v>
      </c>
    </row>
    <row r="663" spans="1:10" x14ac:dyDescent="0.15">
      <c r="C663" s="13" t="s">
        <v>1153</v>
      </c>
      <c r="D663" s="13" t="s">
        <v>89</v>
      </c>
      <c r="E663" s="13" t="s">
        <v>43</v>
      </c>
      <c r="H663" s="13" t="s">
        <v>937</v>
      </c>
    </row>
    <row r="664" spans="1:10" ht="30" customHeight="1" x14ac:dyDescent="0.15">
      <c r="A664" s="19" t="s">
        <v>1154</v>
      </c>
      <c r="B664" s="13"/>
      <c r="C664" s="13" t="s">
        <v>1155</v>
      </c>
      <c r="D664" s="13" t="s">
        <v>87</v>
      </c>
      <c r="E664" s="13" t="s">
        <v>39</v>
      </c>
      <c r="F664" s="21" t="str">
        <f>VLOOKUP($E664,'Приложение 4'!$B$3:$C$19,2,FALSE)</f>
        <v>к-т</v>
      </c>
      <c r="G664" s="13">
        <v>1</v>
      </c>
      <c r="H664" s="13" t="s">
        <v>935</v>
      </c>
      <c r="I664" s="22">
        <v>0</v>
      </c>
      <c r="J664" s="22">
        <f>G664*I664</f>
        <v>0</v>
      </c>
    </row>
    <row r="665" spans="1:10" x14ac:dyDescent="0.15">
      <c r="C665" s="13" t="s">
        <v>1156</v>
      </c>
      <c r="D665" s="13" t="s">
        <v>89</v>
      </c>
      <c r="E665" s="13" t="s">
        <v>43</v>
      </c>
      <c r="H665" s="13" t="s">
        <v>937</v>
      </c>
    </row>
    <row r="666" spans="1:10" ht="45" customHeight="1" x14ac:dyDescent="0.15">
      <c r="A666" s="19" t="s">
        <v>1157</v>
      </c>
      <c r="B666" s="13"/>
      <c r="C666" s="13" t="s">
        <v>1158</v>
      </c>
      <c r="D666" s="13" t="s">
        <v>87</v>
      </c>
      <c r="E666" s="13" t="s">
        <v>39</v>
      </c>
      <c r="F666" s="21" t="str">
        <f>VLOOKUP($E666,'Приложение 4'!$B$3:$C$19,2,FALSE)</f>
        <v>к-т</v>
      </c>
      <c r="G666" s="13">
        <v>1</v>
      </c>
      <c r="H666" s="13" t="s">
        <v>935</v>
      </c>
      <c r="I666" s="22">
        <v>0</v>
      </c>
      <c r="J666" s="22">
        <f>G666*I666</f>
        <v>0</v>
      </c>
    </row>
    <row r="667" spans="1:10" x14ac:dyDescent="0.15">
      <c r="C667" s="13" t="s">
        <v>1159</v>
      </c>
      <c r="D667" s="13" t="s">
        <v>89</v>
      </c>
      <c r="E667" s="13" t="s">
        <v>43</v>
      </c>
      <c r="H667" s="13" t="s">
        <v>937</v>
      </c>
    </row>
    <row r="668" spans="1:10" ht="60" customHeight="1" x14ac:dyDescent="0.15">
      <c r="A668" s="19" t="s">
        <v>1160</v>
      </c>
      <c r="B668" s="13"/>
      <c r="C668" s="13" t="s">
        <v>1161</v>
      </c>
      <c r="D668" s="13" t="s">
        <v>87</v>
      </c>
      <c r="E668" s="13" t="s">
        <v>39</v>
      </c>
      <c r="F668" s="21" t="str">
        <f>VLOOKUP($E668,'Приложение 4'!$B$3:$C$19,2,FALSE)</f>
        <v>к-т</v>
      </c>
      <c r="G668" s="13">
        <v>1</v>
      </c>
      <c r="H668" s="13" t="s">
        <v>935</v>
      </c>
      <c r="I668" s="22">
        <v>0</v>
      </c>
      <c r="J668" s="22">
        <f>G668*I668</f>
        <v>0</v>
      </c>
    </row>
    <row r="669" spans="1:10" ht="27" x14ac:dyDescent="0.15">
      <c r="C669" s="13" t="s">
        <v>1162</v>
      </c>
      <c r="D669" s="13" t="s">
        <v>89</v>
      </c>
      <c r="E669" s="13" t="s">
        <v>43</v>
      </c>
      <c r="H669" s="13" t="s">
        <v>937</v>
      </c>
    </row>
    <row r="670" spans="1:10" ht="45" customHeight="1" x14ac:dyDescent="0.15">
      <c r="A670" s="19" t="s">
        <v>1163</v>
      </c>
      <c r="B670" s="13"/>
      <c r="C670" s="13" t="s">
        <v>1164</v>
      </c>
      <c r="D670" s="13" t="s">
        <v>87</v>
      </c>
      <c r="E670" s="13" t="s">
        <v>39</v>
      </c>
      <c r="F670" s="21" t="str">
        <f>VLOOKUP($E670,'Приложение 4'!$B$3:$C$19,2,FALSE)</f>
        <v>к-т</v>
      </c>
      <c r="G670" s="13">
        <v>1</v>
      </c>
      <c r="H670" s="13" t="s">
        <v>935</v>
      </c>
      <c r="I670" s="22">
        <v>0</v>
      </c>
      <c r="J670" s="22">
        <f>G670*I670</f>
        <v>0</v>
      </c>
    </row>
    <row r="671" spans="1:10" ht="27" x14ac:dyDescent="0.15">
      <c r="C671" s="13" t="s">
        <v>1165</v>
      </c>
      <c r="D671" s="13" t="s">
        <v>89</v>
      </c>
      <c r="E671" s="13" t="s">
        <v>43</v>
      </c>
      <c r="H671" s="13" t="s">
        <v>937</v>
      </c>
    </row>
    <row r="672" spans="1:10" ht="30" customHeight="1" x14ac:dyDescent="0.15">
      <c r="A672" s="19" t="s">
        <v>1166</v>
      </c>
      <c r="B672" s="13"/>
      <c r="C672" s="13" t="s">
        <v>1167</v>
      </c>
      <c r="D672" s="13" t="s">
        <v>87</v>
      </c>
      <c r="E672" s="13" t="s">
        <v>39</v>
      </c>
      <c r="F672" s="21" t="str">
        <f>VLOOKUP($E672,'Приложение 4'!$B$3:$C$19,2,FALSE)</f>
        <v>к-т</v>
      </c>
      <c r="G672" s="13">
        <v>1</v>
      </c>
      <c r="H672" s="13" t="s">
        <v>935</v>
      </c>
      <c r="I672" s="22">
        <v>0</v>
      </c>
      <c r="J672" s="22">
        <f>G672*I672</f>
        <v>0</v>
      </c>
    </row>
    <row r="673" spans="1:10" x14ac:dyDescent="0.15">
      <c r="C673" s="13" t="s">
        <v>1168</v>
      </c>
      <c r="D673" s="13" t="s">
        <v>89</v>
      </c>
      <c r="E673" s="13" t="s">
        <v>43</v>
      </c>
      <c r="H673" s="13" t="s">
        <v>937</v>
      </c>
    </row>
    <row r="674" spans="1:10" ht="30" customHeight="1" x14ac:dyDescent="0.15">
      <c r="A674" s="19" t="s">
        <v>1169</v>
      </c>
      <c r="B674" s="13"/>
      <c r="C674" s="13" t="s">
        <v>1170</v>
      </c>
      <c r="D674" s="13" t="s">
        <v>87</v>
      </c>
      <c r="E674" s="13" t="s">
        <v>39</v>
      </c>
      <c r="F674" s="21" t="str">
        <f>VLOOKUP($E674,'Приложение 4'!$B$3:$C$19,2,FALSE)</f>
        <v>к-т</v>
      </c>
      <c r="G674" s="13">
        <v>1</v>
      </c>
      <c r="H674" s="13" t="s">
        <v>1171</v>
      </c>
      <c r="I674" s="22">
        <v>0</v>
      </c>
      <c r="J674" s="22">
        <f>G674*I674</f>
        <v>0</v>
      </c>
    </row>
    <row r="675" spans="1:10" x14ac:dyDescent="0.15">
      <c r="C675" s="13" t="s">
        <v>1172</v>
      </c>
      <c r="D675" s="13" t="s">
        <v>89</v>
      </c>
      <c r="E675" s="13" t="s">
        <v>43</v>
      </c>
      <c r="H675" s="13" t="s">
        <v>1173</v>
      </c>
    </row>
    <row r="676" spans="1:10" ht="30" customHeight="1" x14ac:dyDescent="0.15">
      <c r="A676" s="19" t="s">
        <v>1174</v>
      </c>
      <c r="B676" s="13"/>
      <c r="C676" s="13" t="s">
        <v>1175</v>
      </c>
      <c r="D676" s="13" t="s">
        <v>87</v>
      </c>
      <c r="E676" s="13" t="s">
        <v>39</v>
      </c>
      <c r="F676" s="21" t="str">
        <f>VLOOKUP($E676,'Приложение 4'!$B$3:$C$19,2,FALSE)</f>
        <v>к-т</v>
      </c>
      <c r="G676" s="13">
        <v>1</v>
      </c>
      <c r="H676" s="13" t="s">
        <v>1176</v>
      </c>
      <c r="I676" s="22">
        <v>0</v>
      </c>
      <c r="J676" s="22">
        <f>G676*I676</f>
        <v>0</v>
      </c>
    </row>
    <row r="677" spans="1:10" x14ac:dyDescent="0.15">
      <c r="C677" s="13" t="s">
        <v>1177</v>
      </c>
      <c r="D677" s="13" t="s">
        <v>89</v>
      </c>
      <c r="E677" s="13" t="s">
        <v>43</v>
      </c>
      <c r="H677" s="13" t="s">
        <v>1178</v>
      </c>
    </row>
    <row r="678" spans="1:10" ht="30" customHeight="1" x14ac:dyDescent="0.15">
      <c r="A678" s="19" t="s">
        <v>1179</v>
      </c>
      <c r="B678" s="13"/>
      <c r="C678" s="13" t="s">
        <v>1180</v>
      </c>
      <c r="D678" s="13" t="s">
        <v>87</v>
      </c>
      <c r="E678" s="13" t="s">
        <v>39</v>
      </c>
      <c r="F678" s="21" t="str">
        <f>VLOOKUP($E678,'Приложение 4'!$B$3:$C$19,2,FALSE)</f>
        <v>к-т</v>
      </c>
      <c r="G678" s="13">
        <v>1</v>
      </c>
      <c r="H678" s="13" t="s">
        <v>1181</v>
      </c>
      <c r="I678" s="22">
        <v>0</v>
      </c>
      <c r="J678" s="22">
        <f>G678*I678</f>
        <v>0</v>
      </c>
    </row>
    <row r="679" spans="1:10" x14ac:dyDescent="0.15">
      <c r="C679" s="13" t="s">
        <v>1182</v>
      </c>
      <c r="D679" s="13" t="s">
        <v>89</v>
      </c>
      <c r="E679" s="13" t="s">
        <v>43</v>
      </c>
      <c r="H679" s="13" t="s">
        <v>1183</v>
      </c>
    </row>
    <row r="680" spans="1:10" ht="30" customHeight="1" x14ac:dyDescent="0.15">
      <c r="A680" s="19" t="s">
        <v>1184</v>
      </c>
      <c r="B680" s="13"/>
      <c r="C680" s="13"/>
      <c r="D680" s="13"/>
      <c r="E680" s="13" t="s">
        <v>39</v>
      </c>
      <c r="F680" s="21" t="str">
        <f>VLOOKUP($E680,'Приложение 4'!$B$3:$C$19,2,FALSE)</f>
        <v>к-т</v>
      </c>
      <c r="G680" s="13"/>
      <c r="H680" s="13"/>
      <c r="I680" s="22">
        <v>0</v>
      </c>
      <c r="J680" s="22">
        <f>G680*I680</f>
        <v>0</v>
      </c>
    </row>
    <row r="681" spans="1:10" x14ac:dyDescent="0.15">
      <c r="E681" s="13" t="s">
        <v>43</v>
      </c>
    </row>
    <row r="682" spans="1:10" ht="30" customHeight="1" x14ac:dyDescent="0.15">
      <c r="A682" s="19" t="s">
        <v>1185</v>
      </c>
      <c r="B682" s="13"/>
      <c r="C682" s="13"/>
      <c r="D682" s="13"/>
      <c r="E682" s="13" t="s">
        <v>39</v>
      </c>
      <c r="F682" s="21" t="str">
        <f>VLOOKUP($E682,'Приложение 4'!$B$3:$C$19,2,FALSE)</f>
        <v>к-т</v>
      </c>
      <c r="G682" s="13"/>
      <c r="H682" s="13"/>
      <c r="I682" s="22">
        <v>0</v>
      </c>
      <c r="J682" s="22">
        <f>G682*I682</f>
        <v>0</v>
      </c>
    </row>
    <row r="683" spans="1:10" x14ac:dyDescent="0.15">
      <c r="E683" s="13" t="s">
        <v>43</v>
      </c>
    </row>
    <row r="684" spans="1:10" ht="30" customHeight="1" x14ac:dyDescent="0.15">
      <c r="A684" s="19" t="s">
        <v>1186</v>
      </c>
      <c r="B684" s="13"/>
      <c r="C684" s="13"/>
      <c r="D684" s="13"/>
      <c r="E684" s="13" t="s">
        <v>39</v>
      </c>
      <c r="F684" s="21" t="str">
        <f>VLOOKUP($E684,'Приложение 4'!$B$3:$C$19,2,FALSE)</f>
        <v>к-т</v>
      </c>
      <c r="G684" s="13"/>
      <c r="H684" s="13"/>
      <c r="I684" s="22">
        <v>0</v>
      </c>
      <c r="J684" s="22">
        <f>G684*I684</f>
        <v>0</v>
      </c>
    </row>
    <row r="685" spans="1:10" x14ac:dyDescent="0.15">
      <c r="E685" s="13" t="s">
        <v>43</v>
      </c>
    </row>
    <row r="686" spans="1:10" ht="30" customHeight="1" x14ac:dyDescent="0.15">
      <c r="A686" s="19" t="s">
        <v>1187</v>
      </c>
      <c r="B686" s="13"/>
      <c r="C686" s="13"/>
      <c r="D686" s="13"/>
      <c r="E686" s="13" t="s">
        <v>39</v>
      </c>
      <c r="F686" s="21" t="str">
        <f>VLOOKUP($E686,'Приложение 4'!$B$3:$C$19,2,FALSE)</f>
        <v>к-т</v>
      </c>
      <c r="G686" s="13"/>
      <c r="H686" s="13"/>
      <c r="I686" s="22">
        <v>0</v>
      </c>
      <c r="J686" s="22">
        <f>G686*I686</f>
        <v>0</v>
      </c>
    </row>
    <row r="687" spans="1:10" x14ac:dyDescent="0.15">
      <c r="E687" s="13" t="s">
        <v>43</v>
      </c>
    </row>
    <row r="688" spans="1:10" ht="30" customHeight="1" x14ac:dyDescent="0.15">
      <c r="A688" s="19" t="s">
        <v>1188</v>
      </c>
      <c r="B688" s="13"/>
      <c r="C688" s="13"/>
      <c r="D688" s="13"/>
      <c r="E688" s="13" t="s">
        <v>39</v>
      </c>
      <c r="F688" s="21" t="str">
        <f>VLOOKUP($E688,'Приложение 4'!$B$3:$C$19,2,FALSE)</f>
        <v>к-т</v>
      </c>
      <c r="G688" s="13"/>
      <c r="H688" s="13"/>
      <c r="I688" s="22">
        <v>0</v>
      </c>
      <c r="J688" s="22">
        <f>G688*I688</f>
        <v>0</v>
      </c>
    </row>
    <row r="689" spans="1:10" x14ac:dyDescent="0.15">
      <c r="E689" s="13" t="s">
        <v>43</v>
      </c>
    </row>
    <row r="690" spans="1:10" ht="30" customHeight="1" x14ac:dyDescent="0.15">
      <c r="A690" s="19" t="s">
        <v>1189</v>
      </c>
      <c r="B690" s="13"/>
      <c r="C690" s="13"/>
      <c r="D690" s="13"/>
      <c r="E690" s="13" t="s">
        <v>39</v>
      </c>
      <c r="F690" s="21" t="str">
        <f>VLOOKUP($E690,'Приложение 4'!$B$3:$C$19,2,FALSE)</f>
        <v>к-т</v>
      </c>
      <c r="G690" s="13"/>
      <c r="H690" s="13"/>
      <c r="I690" s="22">
        <v>0</v>
      </c>
      <c r="J690" s="22">
        <f>G690*I690</f>
        <v>0</v>
      </c>
    </row>
    <row r="691" spans="1:10" x14ac:dyDescent="0.15">
      <c r="E691" s="13" t="s">
        <v>43</v>
      </c>
    </row>
    <row r="692" spans="1:10" ht="30" customHeight="1" x14ac:dyDescent="0.15">
      <c r="A692" s="19" t="s">
        <v>1190</v>
      </c>
      <c r="B692" s="13"/>
      <c r="C692" s="13"/>
      <c r="D692" s="13"/>
      <c r="E692" s="13" t="s">
        <v>39</v>
      </c>
      <c r="F692" s="21" t="str">
        <f>VLOOKUP($E692,'Приложение 4'!$B$3:$C$19,2,FALSE)</f>
        <v>к-т</v>
      </c>
      <c r="G692" s="13"/>
      <c r="H692" s="13"/>
      <c r="I692" s="22">
        <v>0</v>
      </c>
      <c r="J692" s="22">
        <f>G692*I692</f>
        <v>0</v>
      </c>
    </row>
    <row r="693" spans="1:10" x14ac:dyDescent="0.15">
      <c r="E693" s="13" t="s">
        <v>43</v>
      </c>
    </row>
    <row r="694" spans="1:10" ht="30" customHeight="1" x14ac:dyDescent="0.15">
      <c r="A694" s="19" t="s">
        <v>1191</v>
      </c>
      <c r="B694" s="13"/>
      <c r="C694" s="13"/>
      <c r="D694" s="13"/>
      <c r="E694" s="13" t="s">
        <v>39</v>
      </c>
      <c r="F694" s="21" t="str">
        <f>VLOOKUP($E694,'Приложение 4'!$B$3:$C$19,2,FALSE)</f>
        <v>к-т</v>
      </c>
      <c r="G694" s="13"/>
      <c r="H694" s="13"/>
      <c r="I694" s="22">
        <v>0</v>
      </c>
      <c r="J694" s="22">
        <f>G694*I694</f>
        <v>0</v>
      </c>
    </row>
    <row r="695" spans="1:10" x14ac:dyDescent="0.15">
      <c r="E695" s="13" t="s">
        <v>43</v>
      </c>
    </row>
    <row r="696" spans="1:10" ht="30" customHeight="1" x14ac:dyDescent="0.15">
      <c r="A696" s="19" t="s">
        <v>1192</v>
      </c>
      <c r="B696" s="13"/>
      <c r="C696" s="13"/>
      <c r="D696" s="13"/>
      <c r="E696" s="13" t="s">
        <v>39</v>
      </c>
      <c r="F696" s="21" t="str">
        <f>VLOOKUP($E696,'Приложение 4'!$B$3:$C$19,2,FALSE)</f>
        <v>к-т</v>
      </c>
      <c r="G696" s="13"/>
      <c r="H696" s="13"/>
      <c r="I696" s="22">
        <v>0</v>
      </c>
      <c r="J696" s="22">
        <f>G696*I696</f>
        <v>0</v>
      </c>
    </row>
    <row r="697" spans="1:10" x14ac:dyDescent="0.15">
      <c r="E697" s="13" t="s">
        <v>43</v>
      </c>
    </row>
    <row r="698" spans="1:10" x14ac:dyDescent="0.15">
      <c r="C698" s="32"/>
      <c r="I698" s="33" t="s">
        <v>1193</v>
      </c>
      <c r="J698" s="34">
        <f>J6+J360+J400+J456+J496+J536+J576+J616+J658</f>
        <v>0</v>
      </c>
    </row>
    <row r="699" spans="1:10" x14ac:dyDescent="0.15">
      <c r="I699" s="33" t="s">
        <v>1194</v>
      </c>
    </row>
    <row r="701" spans="1:10" ht="18.75" customHeight="1" x14ac:dyDescent="0.15">
      <c r="C701" s="14" t="s">
        <v>1</v>
      </c>
      <c r="D701" s="14" t="s">
        <v>1195</v>
      </c>
    </row>
    <row r="702" spans="1:10" ht="18.75" x14ac:dyDescent="0.15">
      <c r="C702" s="14" t="s">
        <v>5</v>
      </c>
      <c r="D702" s="14" t="s">
        <v>1196</v>
      </c>
    </row>
    <row r="703" spans="1:10" ht="18.75" customHeight="1" x14ac:dyDescent="0.15">
      <c r="C703" s="35" t="s">
        <v>9</v>
      </c>
      <c r="D703" s="36">
        <f>SUMIF(E6:E696,C703,J6:J696)</f>
        <v>0</v>
      </c>
    </row>
    <row r="704" spans="1:10" ht="18.75" x14ac:dyDescent="0.15">
      <c r="C704" s="35" t="s">
        <v>13</v>
      </c>
    </row>
    <row r="705" spans="3:4" ht="18.75" customHeight="1" x14ac:dyDescent="0.15">
      <c r="C705" s="35" t="s">
        <v>17</v>
      </c>
      <c r="D705" s="36">
        <f>SUMIF(E6:E696,C705,J6:J696)</f>
        <v>0</v>
      </c>
    </row>
    <row r="706" spans="3:4" ht="18.75" x14ac:dyDescent="0.15">
      <c r="C706" s="35" t="s">
        <v>19</v>
      </c>
    </row>
    <row r="707" spans="3:4" ht="18.75" customHeight="1" x14ac:dyDescent="0.15">
      <c r="C707" s="35" t="s">
        <v>25</v>
      </c>
      <c r="D707" s="36">
        <f>SUMIF(E6:E696,C707,J6:J696)</f>
        <v>0</v>
      </c>
    </row>
    <row r="708" spans="3:4" ht="18.75" x14ac:dyDescent="0.15">
      <c r="C708" s="35" t="s">
        <v>29</v>
      </c>
    </row>
    <row r="709" spans="3:4" ht="18.75" customHeight="1" x14ac:dyDescent="0.15">
      <c r="C709" s="35" t="s">
        <v>33</v>
      </c>
      <c r="D709" s="36">
        <f>SUMIF(E6:E696,C709,J6:J696)</f>
        <v>0</v>
      </c>
    </row>
    <row r="710" spans="3:4" ht="18.75" x14ac:dyDescent="0.15">
      <c r="C710" s="35" t="s">
        <v>36</v>
      </c>
    </row>
    <row r="711" spans="3:4" ht="18.75" customHeight="1" x14ac:dyDescent="0.15">
      <c r="C711" s="35" t="s">
        <v>39</v>
      </c>
      <c r="D711" s="36">
        <f>SUMIF(E6:E696,C711,J6:J696)</f>
        <v>0</v>
      </c>
    </row>
    <row r="712" spans="3:4" ht="18.75" x14ac:dyDescent="0.15">
      <c r="C712" s="35" t="s">
        <v>43</v>
      </c>
    </row>
    <row r="713" spans="3:4" ht="18.75" customHeight="1" x14ac:dyDescent="0.15">
      <c r="C713" s="35" t="s">
        <v>52</v>
      </c>
      <c r="D713" s="36">
        <f>SUMIF(E6:E696,C713,J6:J696)</f>
        <v>0</v>
      </c>
    </row>
    <row r="714" spans="3:4" ht="18.75" x14ac:dyDescent="0.15">
      <c r="C714" s="35" t="s">
        <v>54</v>
      </c>
    </row>
    <row r="715" spans="3:4" ht="18.75" customHeight="1" x14ac:dyDescent="0.15">
      <c r="C715" s="35" t="s">
        <v>56</v>
      </c>
      <c r="D715" s="36">
        <f>SUMIF(E6:E696,C715,J6:J696)</f>
        <v>0</v>
      </c>
    </row>
    <row r="716" spans="3:4" ht="18.75" x14ac:dyDescent="0.15">
      <c r="C716" s="35" t="s">
        <v>59</v>
      </c>
    </row>
    <row r="717" spans="3:4" ht="18.75" customHeight="1" x14ac:dyDescent="0.15">
      <c r="C717" s="37" t="s">
        <v>1193</v>
      </c>
      <c r="D717" s="36">
        <f>SUM(D701:D715)</f>
        <v>0</v>
      </c>
    </row>
    <row r="718" spans="3:4" ht="18.75" x14ac:dyDescent="0.15">
      <c r="C718" s="37" t="s">
        <v>1194</v>
      </c>
    </row>
  </sheetData>
  <mergeCells count="21">
    <mergeCell ref="G308:G332"/>
    <mergeCell ref="J402:J422"/>
    <mergeCell ref="J334:J358"/>
    <mergeCell ref="H424:H446"/>
    <mergeCell ref="F1:G1"/>
    <mergeCell ref="G334:G358"/>
    <mergeCell ref="I402:I422"/>
    <mergeCell ref="G424:G446"/>
    <mergeCell ref="H308:H332"/>
    <mergeCell ref="J254:J266"/>
    <mergeCell ref="I308:I332"/>
    <mergeCell ref="H402:H422"/>
    <mergeCell ref="J424:J446"/>
    <mergeCell ref="H334:H358"/>
    <mergeCell ref="G254:G266"/>
    <mergeCell ref="I254:I266"/>
    <mergeCell ref="I334:I358"/>
    <mergeCell ref="G402:G422"/>
    <mergeCell ref="I424:I446"/>
    <mergeCell ref="J308:J332"/>
    <mergeCell ref="H254:H266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Приложение 4</vt:lpstr>
      <vt:lpstr>Приложение №1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微软用户</cp:lastModifiedBy>
  <dcterms:created xsi:type="dcterms:W3CDTF">2026-08-07T04:50:56Z</dcterms:created>
  <dcterms:modified xsi:type="dcterms:W3CDTF">2026-08-07T05:13:14Z</dcterms:modified>
</cp:coreProperties>
</file>